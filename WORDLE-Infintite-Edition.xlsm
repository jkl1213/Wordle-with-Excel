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mes/Desktop/projects/wordle/"/>
    </mc:Choice>
  </mc:AlternateContent>
  <xr:revisionPtr revIDLastSave="0" documentId="8_{953FAE2B-ADE8-5440-8629-59A425E458E5}" xr6:coauthVersionLast="36" xr6:coauthVersionMax="36" xr10:uidLastSave="{00000000-0000-0000-0000-000000000000}"/>
  <bookViews>
    <workbookView xWindow="0" yWindow="500" windowWidth="28800" windowHeight="16340" xr2:uid="{00000000-000D-0000-FFFF-FFFF00000000}"/>
  </bookViews>
  <sheets>
    <sheet name="WORDLE - Infinite Edition" sheetId="2" r:id="rId1"/>
    <sheet name="Words" sheetId="3" r:id="rId2"/>
  </sheets>
  <calcPr calcId="179021"/>
</workbook>
</file>

<file path=xl/calcChain.xml><?xml version="1.0" encoding="utf-8"?>
<calcChain xmlns="http://schemas.openxmlformats.org/spreadsheetml/2006/main">
  <c r="C473" i="3" l="1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F20" i="2"/>
  <c r="E20" i="2"/>
  <c r="E11" i="2" s="1"/>
  <c r="D20" i="2"/>
  <c r="D11" i="2" s="1"/>
  <c r="C20" i="2"/>
  <c r="C11" i="2" s="1"/>
  <c r="B20" i="2"/>
  <c r="F19" i="2"/>
  <c r="F10" i="2" s="1"/>
  <c r="E19" i="2"/>
  <c r="E10" i="2" s="1"/>
  <c r="D19" i="2"/>
  <c r="D10" i="2" s="1"/>
  <c r="C19" i="2"/>
  <c r="C10" i="2" s="1"/>
  <c r="B19" i="2"/>
  <c r="F18" i="2"/>
  <c r="F9" i="2" s="1"/>
  <c r="E18" i="2"/>
  <c r="E9" i="2" s="1"/>
  <c r="D18" i="2"/>
  <c r="D9" i="2" s="1"/>
  <c r="C18" i="2"/>
  <c r="C9" i="2" s="1"/>
  <c r="B18" i="2"/>
  <c r="F17" i="2"/>
  <c r="F8" i="2" s="1"/>
  <c r="E17" i="2"/>
  <c r="E8" i="2" s="1"/>
  <c r="D17" i="2"/>
  <c r="D8" i="2" s="1"/>
  <c r="C17" i="2"/>
  <c r="C8" i="2" s="1"/>
  <c r="B17" i="2"/>
  <c r="B8" i="2" s="1"/>
  <c r="F16" i="2"/>
  <c r="F7" i="2" s="1"/>
  <c r="E16" i="2"/>
  <c r="E7" i="2" s="1"/>
  <c r="D16" i="2"/>
  <c r="C16" i="2"/>
  <c r="C7" i="2" s="1"/>
  <c r="B16" i="2"/>
  <c r="B7" i="2" s="1"/>
  <c r="F15" i="2"/>
  <c r="E15" i="2"/>
  <c r="D15" i="2"/>
  <c r="C15" i="2"/>
  <c r="B15" i="2"/>
  <c r="N14" i="2"/>
  <c r="O22" i="2" s="1"/>
  <c r="F11" i="2"/>
  <c r="B11" i="2"/>
  <c r="B10" i="2"/>
  <c r="B9" i="2"/>
  <c r="D7" i="2"/>
  <c r="F4" i="2"/>
  <c r="E4" i="2"/>
  <c r="D4" i="2"/>
  <c r="C4" i="2"/>
  <c r="B4" i="2"/>
  <c r="F2" i="3"/>
  <c r="B6" i="2" l="1"/>
  <c r="D6" i="2"/>
  <c r="E6" i="2"/>
  <c r="F6" i="2"/>
  <c r="C6" i="2"/>
  <c r="O19" i="2"/>
  <c r="O15" i="2"/>
  <c r="N18" i="2"/>
  <c r="O21" i="2"/>
  <c r="L8" i="2"/>
  <c r="P21" i="2"/>
  <c r="N16" i="2"/>
  <c r="O17" i="2"/>
  <c r="N20" i="2"/>
  <c r="P22" i="2"/>
  <c r="L7" i="2"/>
  <c r="N17" i="2"/>
  <c r="O18" i="2"/>
  <c r="N15" i="2"/>
  <c r="O16" i="2"/>
  <c r="N19" i="2"/>
  <c r="O20" i="2"/>
  <c r="N23" i="2"/>
  <c r="L11" i="2"/>
  <c r="L9" i="2"/>
  <c r="L10" i="2"/>
  <c r="P15" i="2"/>
  <c r="P16" i="2"/>
  <c r="P17" i="2"/>
  <c r="P18" i="2"/>
  <c r="P19" i="2"/>
  <c r="P20" i="2"/>
  <c r="N22" i="2"/>
  <c r="O23" i="2"/>
  <c r="N21" i="2"/>
  <c r="L6" i="2" l="1"/>
  <c r="L12" i="2" s="1"/>
  <c r="H12" i="2"/>
</calcChain>
</file>

<file path=xl/sharedStrings.xml><?xml version="1.0" encoding="utf-8"?>
<sst xmlns="http://schemas.openxmlformats.org/spreadsheetml/2006/main" count="506" uniqueCount="504">
  <si>
    <t>y</t>
  </si>
  <si>
    <t>Cable</t>
  </si>
  <si>
    <t>Relax</t>
  </si>
  <si>
    <t>INPUTS:</t>
  </si>
  <si>
    <t>Draft</t>
  </si>
  <si>
    <t>5-letter word attempt</t>
  </si>
  <si>
    <t>Keyboard: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</si>
  <si>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</si>
  <si>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</si>
  <si>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</si>
  <si>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</si>
  <si>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</si>
  <si>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</si>
  <si>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</si>
  <si>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</si>
  <si>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</si>
  <si>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</si>
  <si>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</si>
  <si>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</si>
  <si>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</si>
  <si>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</si>
  <si>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</si>
  <si>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</si>
  <si>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</si>
  <si>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</si>
  <si>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</si>
  <si>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</si>
  <si>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</si>
  <si>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</si>
  <si>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</si>
  <si>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</si>
  <si>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</si>
  <si>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random numbers</t>
  </si>
  <si>
    <t>clipboard</t>
  </si>
  <si>
    <t>2-473</t>
  </si>
  <si>
    <t>Apply</t>
  </si>
  <si>
    <t>Awful</t>
  </si>
  <si>
    <t>Above</t>
  </si>
  <si>
    <t>Apple</t>
  </si>
  <si>
    <t>Award</t>
  </si>
  <si>
    <t>Angry</t>
  </si>
  <si>
    <t>Album</t>
  </si>
  <si>
    <t>Avoid</t>
  </si>
  <si>
    <t>Ahead</t>
  </si>
  <si>
    <t>Allow</t>
  </si>
  <si>
    <t>Alive</t>
  </si>
  <si>
    <t>Aware</t>
  </si>
  <si>
    <t>After</t>
  </si>
  <si>
    <t>Adopt</t>
  </si>
  <si>
    <t>Admit</t>
  </si>
  <si>
    <t>Adapt</t>
  </si>
  <si>
    <t>Among</t>
  </si>
  <si>
    <t>Apart</t>
  </si>
  <si>
    <t>Abuse</t>
  </si>
  <si>
    <t>Actor</t>
  </si>
  <si>
    <t>About</t>
  </si>
  <si>
    <t>Along</t>
  </si>
  <si>
    <t>Again</t>
  </si>
  <si>
    <t>Aside</t>
  </si>
  <si>
    <t>Argue</t>
  </si>
  <si>
    <t>Agent</t>
  </si>
  <si>
    <t>Agree</t>
  </si>
  <si>
    <t>Angle</t>
  </si>
  <si>
    <t>Anger</t>
  </si>
  <si>
    <t>Arise</t>
  </si>
  <si>
    <t>Asset</t>
  </si>
  <si>
    <t>Alone</t>
  </si>
  <si>
    <t>Alter</t>
  </si>
  <si>
    <t>Block</t>
  </si>
  <si>
    <t>Bunch</t>
  </si>
  <si>
    <t>Bench</t>
  </si>
  <si>
    <t>Beach</t>
  </si>
  <si>
    <t>Break</t>
  </si>
  <si>
    <t>Badly</t>
  </si>
  <si>
    <t>Brown</t>
  </si>
  <si>
    <t>Brush</t>
  </si>
  <si>
    <t>Buyer</t>
  </si>
  <si>
    <t>Brief</t>
  </si>
  <si>
    <t>Below</t>
  </si>
  <si>
    <t>Birth</t>
  </si>
  <si>
    <t>Blame</t>
  </si>
  <si>
    <t>Basic</t>
  </si>
  <si>
    <t>Bible</t>
  </si>
  <si>
    <t>Bring</t>
  </si>
  <si>
    <t>Broad</t>
  </si>
  <si>
    <t>Begin</t>
  </si>
  <si>
    <t>Build</t>
  </si>
  <si>
    <t>Being</t>
  </si>
  <si>
    <t>Blade</t>
  </si>
  <si>
    <t>Bread</t>
  </si>
  <si>
    <t>Brand</t>
  </si>
  <si>
    <t>Board</t>
  </si>
  <si>
    <t>Blind</t>
  </si>
  <si>
    <t>Blood</t>
  </si>
  <si>
    <t>Brain</t>
  </si>
  <si>
    <t>Basis</t>
  </si>
  <si>
    <t>Crazy</t>
  </si>
  <si>
    <t>Check</t>
  </si>
  <si>
    <t>Cheek</t>
  </si>
  <si>
    <t>Clock</t>
  </si>
  <si>
    <t>Chief</t>
  </si>
  <si>
    <t>Crack</t>
  </si>
  <si>
    <t>Coach</t>
  </si>
  <si>
    <t>Couch</t>
  </si>
  <si>
    <t>Cheap</t>
  </si>
  <si>
    <t>Cycle</t>
  </si>
  <si>
    <t>Catch</t>
  </si>
  <si>
    <t>Child</t>
  </si>
  <si>
    <t>Crowd</t>
  </si>
  <si>
    <t>Climb</t>
  </si>
  <si>
    <t>Chain</t>
  </si>
  <si>
    <t>Cover</t>
  </si>
  <si>
    <t>Crash</t>
  </si>
  <si>
    <t>Craft</t>
  </si>
  <si>
    <t>Civil</t>
  </si>
  <si>
    <t>Chart</t>
  </si>
  <si>
    <t>Chase</t>
  </si>
  <si>
    <t>Chair</t>
  </si>
  <si>
    <t>Chest</t>
  </si>
  <si>
    <t>Carry</t>
  </si>
  <si>
    <t>Claim</t>
  </si>
  <si>
    <t>Cream</t>
  </si>
  <si>
    <t>Crime</t>
  </si>
  <si>
    <t>Cabin</t>
  </si>
  <si>
    <t>Cloud</t>
  </si>
  <si>
    <t>Could</t>
  </si>
  <si>
    <t>Cause</t>
  </si>
  <si>
    <t>Cross</t>
  </si>
  <si>
    <t>Clear</t>
  </si>
  <si>
    <t>Count</t>
  </si>
  <si>
    <t>Color</t>
  </si>
  <si>
    <t>Coast</t>
  </si>
  <si>
    <t>Close</t>
  </si>
  <si>
    <t>Class</t>
  </si>
  <si>
    <t>Clean</t>
  </si>
  <si>
    <t>Court</t>
  </si>
  <si>
    <t>Dozen</t>
  </si>
  <si>
    <t>Depth</t>
  </si>
  <si>
    <t>Drink</t>
  </si>
  <si>
    <t>Daily</t>
  </si>
  <si>
    <t>Dirty</t>
  </si>
  <si>
    <t>Delay</t>
  </si>
  <si>
    <t>Death</t>
  </si>
  <si>
    <t>Drive</t>
  </si>
  <si>
    <t>Doubt</t>
  </si>
  <si>
    <t>Drama</t>
  </si>
  <si>
    <t>Dream</t>
  </si>
  <si>
    <t>Dance</t>
  </si>
  <si>
    <t>Dress</t>
  </si>
  <si>
    <t>Enjoy</t>
  </si>
  <si>
    <t>Equal</t>
  </si>
  <si>
    <t>Exact</t>
  </si>
  <si>
    <t>Extra</t>
  </si>
  <si>
    <t>Exist</t>
  </si>
  <si>
    <t>Empty</t>
  </si>
  <si>
    <t>Every</t>
  </si>
  <si>
    <t>Enemy</t>
  </si>
  <si>
    <t>Eight</t>
  </si>
  <si>
    <t>Entry</t>
  </si>
  <si>
    <t>Earth</t>
  </si>
  <si>
    <t>Early</t>
  </si>
  <si>
    <t>Essay</t>
  </si>
  <si>
    <t>Event</t>
  </si>
  <si>
    <t>Elect</t>
  </si>
  <si>
    <t>Eager</t>
  </si>
  <si>
    <t>Error</t>
  </si>
  <si>
    <t>Elite</t>
  </si>
  <si>
    <t>Enter</t>
  </si>
  <si>
    <t>Fifty</t>
  </si>
  <si>
    <t>Fight</t>
  </si>
  <si>
    <t>Faith</t>
  </si>
  <si>
    <t>Fully</t>
  </si>
  <si>
    <t>Fresh</t>
  </si>
  <si>
    <t>Forth</t>
  </si>
  <si>
    <t>Flesh</t>
  </si>
  <si>
    <t>Funny</t>
  </si>
  <si>
    <t>Fewer</t>
  </si>
  <si>
    <t>Favor</t>
  </si>
  <si>
    <t>Frame</t>
  </si>
  <si>
    <t>Force</t>
  </si>
  <si>
    <t>Focus</t>
  </si>
  <si>
    <t>Fence</t>
  </si>
  <si>
    <t>Fiber</t>
  </si>
  <si>
    <t>Flame</t>
  </si>
  <si>
    <t>Field</t>
  </si>
  <si>
    <t>Found</t>
  </si>
  <si>
    <t>Final</t>
  </si>
  <si>
    <t>First</t>
  </si>
  <si>
    <t>Floor</t>
  </si>
  <si>
    <t>Fault</t>
  </si>
  <si>
    <t>Front</t>
  </si>
  <si>
    <t>Fruit</t>
  </si>
  <si>
    <t>Float</t>
  </si>
  <si>
    <t>Ghost</t>
  </si>
  <si>
    <t>Given</t>
  </si>
  <si>
    <t>Glove</t>
  </si>
  <si>
    <t>Grave</t>
  </si>
  <si>
    <t>Group</t>
  </si>
  <si>
    <t>Guard</t>
  </si>
  <si>
    <t>Guide</t>
  </si>
  <si>
    <t>Grand</t>
  </si>
  <si>
    <t>Grade</t>
  </si>
  <si>
    <t>Grant</t>
  </si>
  <si>
    <t>Guest</t>
  </si>
  <si>
    <t>Guess</t>
  </si>
  <si>
    <t>Giant</t>
  </si>
  <si>
    <t>Glass</t>
  </si>
  <si>
    <t>Green</t>
  </si>
  <si>
    <t>Great</t>
  </si>
  <si>
    <t>Grain</t>
  </si>
  <si>
    <t>Grass</t>
  </si>
  <si>
    <t>Happy</t>
  </si>
  <si>
    <t>Heavy</t>
  </si>
  <si>
    <t>Honey</t>
  </si>
  <si>
    <t>Habit</t>
  </si>
  <si>
    <t>Human</t>
  </si>
  <si>
    <t>Humor</t>
  </si>
  <si>
    <t>Hello</t>
  </si>
  <si>
    <t>Horse</t>
  </si>
  <si>
    <t>Hotel</t>
  </si>
  <si>
    <t>House</t>
  </si>
  <si>
    <t>Heart</t>
  </si>
  <si>
    <t>Honor</t>
  </si>
  <si>
    <t>Index</t>
  </si>
  <si>
    <t>Imply</t>
  </si>
  <si>
    <t>Image</t>
  </si>
  <si>
    <t>Ideal</t>
  </si>
  <si>
    <t>Inner</t>
  </si>
  <si>
    <t>Issue</t>
  </si>
  <si>
    <t>Judge</t>
  </si>
  <si>
    <t>Juice</t>
  </si>
  <si>
    <t>Joint</t>
  </si>
  <si>
    <t>Knock</t>
  </si>
  <si>
    <t>Knife</t>
  </si>
  <si>
    <t>Lucky</t>
  </si>
  <si>
    <t>Lunch</t>
  </si>
  <si>
    <t>Light</t>
  </si>
  <si>
    <t>Laugh</t>
  </si>
  <si>
    <t>Leave</t>
  </si>
  <si>
    <t>Layer</t>
  </si>
  <si>
    <t>Lover</t>
  </si>
  <si>
    <t>Lower</t>
  </si>
  <si>
    <t>Level</t>
  </si>
  <si>
    <t>Local</t>
  </si>
  <si>
    <t>Limit</t>
  </si>
  <si>
    <t>Lemon</t>
  </si>
  <si>
    <t>Labor</t>
  </si>
  <si>
    <t>Label</t>
  </si>
  <si>
    <t>Legal</t>
  </si>
  <si>
    <t>Large</t>
  </si>
  <si>
    <t>Least</t>
  </si>
  <si>
    <t>Learn</t>
  </si>
  <si>
    <t>Loose</t>
  </si>
  <si>
    <t>Later</t>
  </si>
  <si>
    <t>Major</t>
  </si>
  <si>
    <t>Match</t>
  </si>
  <si>
    <t>Maybe</t>
  </si>
  <si>
    <t>Maker</t>
  </si>
  <si>
    <t>Might</t>
  </si>
  <si>
    <t>Month</t>
  </si>
  <si>
    <t>Mouth</t>
  </si>
  <si>
    <t>Movie</t>
  </si>
  <si>
    <t>Mayor</t>
  </si>
  <si>
    <t>Marry</t>
  </si>
  <si>
    <t>Money</t>
  </si>
  <si>
    <t>Music</t>
  </si>
  <si>
    <t>Model</t>
  </si>
  <si>
    <t>Media</t>
  </si>
  <si>
    <t>Metal</t>
  </si>
  <si>
    <t>Mouse</t>
  </si>
  <si>
    <t>Mount</t>
  </si>
  <si>
    <t>Motor</t>
  </si>
  <si>
    <t>Moral</t>
  </si>
  <si>
    <t>Meter</t>
  </si>
  <si>
    <t>Minor</t>
  </si>
  <si>
    <t>Newly</t>
  </si>
  <si>
    <t>Naked</t>
  </si>
  <si>
    <t>Night</t>
  </si>
  <si>
    <t>Nerve</t>
  </si>
  <si>
    <t>Never</t>
  </si>
  <si>
    <t>North</t>
  </si>
  <si>
    <t>Novel</t>
  </si>
  <si>
    <t>Noise</t>
  </si>
  <si>
    <t>Nurse</t>
  </si>
  <si>
    <t>Offer</t>
  </si>
  <si>
    <t>Occur</t>
  </si>
  <si>
    <t>Ought</t>
  </si>
  <si>
    <t>Often</t>
  </si>
  <si>
    <t>Other</t>
  </si>
  <si>
    <t>Owner</t>
  </si>
  <si>
    <t>Ocean</t>
  </si>
  <si>
    <t>Order</t>
  </si>
  <si>
    <t>Onion</t>
  </si>
  <si>
    <t>Porch</t>
  </si>
  <si>
    <t>Pitch</t>
  </si>
  <si>
    <t>Patch</t>
  </si>
  <si>
    <t>Prove</t>
  </si>
  <si>
    <t>Power</t>
  </si>
  <si>
    <t>Photo</t>
  </si>
  <si>
    <t>Phone</t>
  </si>
  <si>
    <t>Phase</t>
  </si>
  <si>
    <t>Proof</t>
  </si>
  <si>
    <t>Party</t>
  </si>
  <si>
    <t>Peace</t>
  </si>
  <si>
    <t>Price</t>
  </si>
  <si>
    <t>Prime</t>
  </si>
  <si>
    <t>Place</t>
  </si>
  <si>
    <t>Paper</t>
  </si>
  <si>
    <t>Piece</t>
  </si>
  <si>
    <t>Pride</t>
  </si>
  <si>
    <t>Proud</t>
  </si>
  <si>
    <t>Pound</t>
  </si>
  <si>
    <t>Print</t>
  </si>
  <si>
    <t>Prior</t>
  </si>
  <si>
    <t>Press</t>
  </si>
  <si>
    <t>Point</t>
  </si>
  <si>
    <t>Plate</t>
  </si>
  <si>
    <t>Plant</t>
  </si>
  <si>
    <t>Plane</t>
  </si>
  <si>
    <t>Pilot</t>
  </si>
  <si>
    <t>Piano</t>
  </si>
  <si>
    <t>Pause</t>
  </si>
  <si>
    <t>Panel</t>
  </si>
  <si>
    <t>Paint</t>
  </si>
  <si>
    <t>Quick</t>
  </si>
  <si>
    <t>Quiet</t>
  </si>
  <si>
    <t>Quite</t>
  </si>
  <si>
    <t>Quote</t>
  </si>
  <si>
    <t>Reply</t>
  </si>
  <si>
    <t>Reach</t>
  </si>
  <si>
    <t>Rough</t>
  </si>
  <si>
    <t>Ready</t>
  </si>
  <si>
    <t>Right</t>
  </si>
  <si>
    <t>Rapid</t>
  </si>
  <si>
    <t>River</t>
  </si>
  <si>
    <t>Refer</t>
  </si>
  <si>
    <t>React</t>
  </si>
  <si>
    <t>Round</t>
  </si>
  <si>
    <t>Radio</t>
  </si>
  <si>
    <t>Range</t>
  </si>
  <si>
    <t>Ratio</t>
  </si>
  <si>
    <t>Raise</t>
  </si>
  <si>
    <t>Route</t>
  </si>
  <si>
    <t>Rural</t>
  </si>
  <si>
    <t>Shock</t>
  </si>
  <si>
    <t>Seize</t>
  </si>
  <si>
    <t>Shake</t>
  </si>
  <si>
    <t>Stick</t>
  </si>
  <si>
    <t>Stock</t>
  </si>
  <si>
    <t>Stuff</t>
  </si>
  <si>
    <t>Shelf</t>
  </si>
  <si>
    <t>Staff</t>
  </si>
  <si>
    <t>Speak</t>
  </si>
  <si>
    <t>Smoke</t>
  </si>
  <si>
    <t>Shift</t>
  </si>
  <si>
    <t>Sharp</t>
  </si>
  <si>
    <t>Shape</t>
  </si>
  <si>
    <t>Sweep</t>
  </si>
  <si>
    <t>Shade</t>
  </si>
  <si>
    <t>Sight</t>
  </si>
  <si>
    <t>Shrug</t>
  </si>
  <si>
    <t>Space</t>
  </si>
  <si>
    <t>Scope</t>
  </si>
  <si>
    <t>Skill</t>
  </si>
  <si>
    <t>Stake</t>
  </si>
  <si>
    <t>Study</t>
  </si>
  <si>
    <t>Swing</t>
  </si>
  <si>
    <t>Sweet</t>
  </si>
  <si>
    <t>Story</t>
  </si>
  <si>
    <t>Spend</t>
  </si>
  <si>
    <t>Solve</t>
  </si>
  <si>
    <t>Sorry</t>
  </si>
  <si>
    <t>South</t>
  </si>
  <si>
    <t>Swear</t>
  </si>
  <si>
    <t>Speed</t>
  </si>
  <si>
    <t>Style</t>
  </si>
  <si>
    <t>Slave</t>
  </si>
  <si>
    <t>Short</t>
  </si>
  <si>
    <t>Sheet</t>
  </si>
  <si>
    <t>Share</t>
  </si>
  <si>
    <t>Shine</t>
  </si>
  <si>
    <t>Shirt</t>
  </si>
  <si>
    <t>Shoot</t>
  </si>
  <si>
    <t>Shall</t>
  </si>
  <si>
    <t>Shore</t>
  </si>
  <si>
    <t>Seven</t>
  </si>
  <si>
    <t>Shell</t>
  </si>
  <si>
    <t>Serve</t>
  </si>
  <si>
    <t>Shout</t>
  </si>
  <si>
    <t>Sauce</t>
  </si>
  <si>
    <t>Split</t>
  </si>
  <si>
    <t>Scale</t>
  </si>
  <si>
    <t>Super</t>
  </si>
  <si>
    <t>Scene</t>
  </si>
  <si>
    <t>Score</t>
  </si>
  <si>
    <t>Strip</t>
  </si>
  <si>
    <t>Storm</t>
  </si>
  <si>
    <t>Sport</t>
  </si>
  <si>
    <t>Smell</t>
  </si>
  <si>
    <t>Sleep</t>
  </si>
  <si>
    <t>Smart</t>
  </si>
  <si>
    <t>Small</t>
  </si>
  <si>
    <t>Slice</t>
  </si>
  <si>
    <t>Smile</t>
  </si>
  <si>
    <t>Since</t>
  </si>
  <si>
    <t>Stand</t>
  </si>
  <si>
    <t>Sugar</t>
  </si>
  <si>
    <t>Sound</t>
  </si>
  <si>
    <t>Slide</t>
  </si>
  <si>
    <t>Stage</t>
  </si>
  <si>
    <t>Solid</t>
  </si>
  <si>
    <t>Salad</t>
  </si>
  <si>
    <t>Sales</t>
  </si>
  <si>
    <t>Sense</t>
  </si>
  <si>
    <t>Solar</t>
  </si>
  <si>
    <t>Stair</t>
  </si>
  <si>
    <t>Stare</t>
  </si>
  <si>
    <t>State</t>
  </si>
  <si>
    <t>Steal</t>
  </si>
  <si>
    <t>Steel</t>
  </si>
  <si>
    <t>Still</t>
  </si>
  <si>
    <t>Stone</t>
  </si>
  <si>
    <t>Store</t>
  </si>
  <si>
    <t>Start</t>
  </si>
  <si>
    <t>Thick</t>
  </si>
  <si>
    <t>Think</t>
  </si>
  <si>
    <t>Thank</t>
  </si>
  <si>
    <t>Track</t>
  </si>
  <si>
    <t>Throw</t>
  </si>
  <si>
    <t>Trick</t>
  </si>
  <si>
    <t>Truck</t>
  </si>
  <si>
    <t>Theme</t>
  </si>
  <si>
    <t>Touch</t>
  </si>
  <si>
    <t>Teach</t>
  </si>
  <si>
    <t>Twice</t>
  </si>
  <si>
    <t>Tough</t>
  </si>
  <si>
    <t>Tight</t>
  </si>
  <si>
    <t>Today</t>
  </si>
  <si>
    <t>Third</t>
  </si>
  <si>
    <t>Thing</t>
  </si>
  <si>
    <t>Topic</t>
  </si>
  <si>
    <t>Tower</t>
  </si>
  <si>
    <t>Truly</t>
  </si>
  <si>
    <t>Truth</t>
  </si>
  <si>
    <t>Their</t>
  </si>
  <si>
    <t>Tooth</t>
  </si>
  <si>
    <t>There</t>
  </si>
  <si>
    <t>Three</t>
  </si>
  <si>
    <t>These</t>
  </si>
  <si>
    <t>Those</t>
  </si>
  <si>
    <t>Terms</t>
  </si>
  <si>
    <t>Troop</t>
  </si>
  <si>
    <t>Tribe</t>
  </si>
  <si>
    <t>Table</t>
  </si>
  <si>
    <t>Trace</t>
  </si>
  <si>
    <t>Tired</t>
  </si>
  <si>
    <t>Trend</t>
  </si>
  <si>
    <t>Trade</t>
  </si>
  <si>
    <t>Taste</t>
  </si>
  <si>
    <t>Trust</t>
  </si>
  <si>
    <t>Total</t>
  </si>
  <si>
    <t>Title</t>
  </si>
  <si>
    <t>Train</t>
  </si>
  <si>
    <t>Trial</t>
  </si>
  <si>
    <t>Trail</t>
  </si>
  <si>
    <t>Treat</t>
  </si>
  <si>
    <t>Upper</t>
  </si>
  <si>
    <t>Uncle</t>
  </si>
  <si>
    <t>Urban</t>
  </si>
  <si>
    <t>Under</t>
  </si>
  <si>
    <t>Union</t>
  </si>
  <si>
    <t>Until</t>
  </si>
  <si>
    <t>Usual</t>
  </si>
  <si>
    <t>Voice</t>
  </si>
  <si>
    <t>Video</t>
  </si>
  <si>
    <t>Value</t>
  </si>
  <si>
    <t>Virus</t>
  </si>
  <si>
    <t>Visit</t>
  </si>
  <si>
    <t>Vital</t>
  </si>
  <si>
    <t>Voter</t>
  </si>
  <si>
    <t>Which</t>
  </si>
  <si>
    <t>Watch</t>
  </si>
  <si>
    <t>Weigh</t>
  </si>
  <si>
    <t>Works</t>
  </si>
  <si>
    <t>Whose</t>
  </si>
  <si>
    <t>Worth</t>
  </si>
  <si>
    <t>Whole</t>
  </si>
  <si>
    <t>White</t>
  </si>
  <si>
    <t>While</t>
  </si>
  <si>
    <t>Where</t>
  </si>
  <si>
    <t>Wheel</t>
  </si>
  <si>
    <t>Worry</t>
  </si>
  <si>
    <t>Woman</t>
  </si>
  <si>
    <t>Would</t>
  </si>
  <si>
    <t>Wound</t>
  </si>
  <si>
    <t>World</t>
  </si>
  <si>
    <t>Wrong</t>
  </si>
  <si>
    <t>Water</t>
  </si>
  <si>
    <t>Write</t>
  </si>
  <si>
    <t>Waste</t>
  </si>
  <si>
    <t>Youth</t>
  </si>
  <si>
    <t>Yield</t>
  </si>
  <si>
    <t>Young</t>
  </si>
  <si>
    <t>Yours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</si>
</sst>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</font>
    <font>
      <sz val="10"/>
      <color theme="1"/>
      <name val="Arial"/>
    </font>
    <font>
      <sz val="12"/>
      <color theme="1"/>
      <name val="Arial"/>
    </font>
    <font>
      <sz val="10"/>
      <color rgb="FFFFFFFF"/>
      <name val="Arial"/>
    </font>
    <font>
      <sz val="12"/>
      <color rgb="FF000000"/>
      <name val="Arial"/>
    </font>
    <font>
      <sz val="10"/>
      <color theme="0"/>
      <name val="Arial"/>
    </font>
    <font>
      <b/>
      <sz val="12"/>
      <color theme="1"/>
      <name val="Arial"/>
    </font>
    <font>
      <sz val="12"/>
      <color theme="0"/>
      <name val="Arial"/>
    </font>
    <font>
      <sz val="10"/>
      <color rgb="FFF6F7F9"/>
      <name val="Arial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</fills>
  <borders count="2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4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>
      <alignment wrapText="1"/>
    </xf>
    <xf numFmtId="0" fontId="3" fillId="0" borderId="0" xfId="0" applyFont="1" applyAlignment="1"/>
    <xf numFmtId="0" fontId="4" fillId="2" borderId="0" xfId="0" applyFont="1" applyFill="1" applyAlignment="1">
      <alignment wrapText="1"/>
    </xf>
    <xf numFmtId="0" fontId="5" fillId="0" borderId="0" xfId="0" applyFont="1"/>
    <xf numFmtId="0" fontId="6" fillId="0" borderId="1" xfId="0" applyFont="1" applyBorder="1" applyAlignment="1"/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2" fillId="0" borderId="4" xfId="0" applyFont="1" applyBorder="1"/>
    <xf numFmtId="0" fontId="2" fillId="3" borderId="7" xfId="0" applyFont="1" applyFill="1" applyBorder="1" applyAlignme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11" xfId="0" applyFont="1" applyBorder="1"/>
    <xf numFmtId="0" fontId="2" fillId="3" borderId="12" xfId="0" applyFont="1" applyFill="1" applyBorder="1" applyAlignment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2" fillId="0" borderId="16" xfId="0" applyFont="1" applyBorder="1" applyAlignment="1"/>
    <xf numFmtId="0" fontId="2" fillId="3" borderId="17" xfId="0" applyFont="1" applyFill="1" applyBorder="1" applyAlignment="1"/>
    <xf numFmtId="0" fontId="1" fillId="4" borderId="0" xfId="0" applyFont="1" applyFill="1"/>
    <xf numFmtId="0" fontId="2" fillId="4" borderId="0" xfId="0" applyFont="1" applyFill="1"/>
    <xf numFmtId="0" fontId="2" fillId="4" borderId="1" xfId="0" applyFont="1" applyFill="1" applyBorder="1" applyAlignment="1"/>
    <xf numFmtId="0" fontId="5" fillId="0" borderId="0" xfId="0" applyFont="1" applyAlignment="1"/>
    <xf numFmtId="0" fontId="2" fillId="0" borderId="1" xfId="0" applyFont="1" applyBorder="1" applyAlignment="1"/>
    <xf numFmtId="0" fontId="1" fillId="0" borderId="18" xfId="0" applyFont="1" applyBorder="1"/>
    <xf numFmtId="0" fontId="1" fillId="0" borderId="7" xfId="0" applyFont="1" applyBorder="1"/>
    <xf numFmtId="0" fontId="7" fillId="0" borderId="0" xfId="0" applyFont="1" applyAlignment="1"/>
    <xf numFmtId="0" fontId="1" fillId="0" borderId="11" xfId="0" applyFont="1" applyBorder="1"/>
    <xf numFmtId="0" fontId="1" fillId="0" borderId="0" xfId="0" applyFont="1"/>
    <xf numFmtId="0" fontId="1" fillId="0" borderId="12" xfId="0" applyFont="1" applyBorder="1"/>
    <xf numFmtId="0" fontId="1" fillId="0" borderId="16" xfId="0" applyFont="1" applyBorder="1"/>
    <xf numFmtId="0" fontId="1" fillId="0" borderId="19" xfId="0" applyFont="1" applyBorder="1"/>
    <xf numFmtId="0" fontId="1" fillId="0" borderId="17" xfId="0" applyFont="1" applyBorder="1"/>
    <xf numFmtId="0" fontId="1" fillId="0" borderId="0" xfId="0" applyFont="1"/>
    <xf numFmtId="0" fontId="8" fillId="0" borderId="1" xfId="0" applyFont="1" applyBorder="1"/>
  </cellXfs>
  <cellStyles count="1">
    <cellStyle name="Normal" xfId="0" builtinId="0"/>
  </cellStyles>
  <dxfs count="8">
    <dxf>
      <fill>
        <patternFill patternType="solid">
          <fgColor rgb="FF666666"/>
          <bgColor rgb="FF666666"/>
        </patternFill>
      </fill>
    </dxf>
    <dxf>
      <fill>
        <patternFill patternType="solid">
          <fgColor rgb="FF00FF00"/>
          <bgColor rgb="FF00FF00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ont>
        <color rgb="FFFF9900"/>
      </font>
      <fill>
        <patternFill patternType="solid">
          <fgColor rgb="FFFF9900"/>
          <bgColor rgb="FFFF9900"/>
        </patternFill>
      </fill>
    </dxf>
    <dxf>
      <font>
        <color rgb="FF999999"/>
      </font>
      <fill>
        <patternFill patternType="solid">
          <fgColor rgb="FF999999"/>
          <bgColor rgb="FF999999"/>
        </patternFill>
      </fill>
    </dxf>
    <dxf>
      <font>
        <color rgb="FF1CE81C"/>
      </font>
      <fill>
        <patternFill patternType="solid">
          <fgColor rgb="FF1CE81C"/>
          <bgColor rgb="FF1CE81C"/>
        </patternFill>
      </fill>
    </dxf>
    <dxf>
      <fill>
        <patternFill patternType="solid">
          <fgColor rgb="FFD9D9D9"/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1060450</xdr:colOff>
      <xdr:row>10</xdr:row>
      <xdr:rowOff>260350</xdr:rowOff>
    </xdr:from>
    <xdr:ext cx="1581150" cy="81915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915650" y="3308350"/>
          <a:ext cx="1581150" cy="819150"/>
          <a:chOff x="1528350" y="1027575"/>
          <a:chExt cx="1558725" cy="800400"/>
        </a:xfrm>
      </xdr:grpSpPr>
      <xdr:sp macro="[0]!Wordle" textlink="">
        <xdr:nvSpPr>
          <xdr:cNvPr id="3" name="Shap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351775" y="1112475"/>
            <a:ext cx="735300" cy="715500"/>
          </a:xfrm>
          <a:prstGeom prst="ellipse">
            <a:avLst/>
          </a:prstGeom>
          <a:gradFill>
            <a:gsLst>
              <a:gs pos="0">
                <a:srgbClr val="DB0000"/>
              </a:gs>
              <a:gs pos="100000">
                <a:srgbClr val="540303"/>
              </a:gs>
            </a:gsLst>
            <a:path path="circle">
              <a:fillToRect l="50000" t="50000" r="50000" b="50000"/>
            </a:path>
            <a:tileRect/>
          </a:gra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[0]!Wordle" textlink="">
        <xdr:nvSpPr>
          <xdr:cNvPr id="4" name="Shape 4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528350" y="1027575"/>
            <a:ext cx="735300" cy="80040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t" anchorCtr="0">
            <a:sp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000"/>
              <a:t>Push button for new puzzle:</a:t>
            </a:r>
            <a:endParaRPr sz="1000"/>
          </a:p>
        </xdr:txBody>
      </xdr:sp>
    </xdr:grpSp>
    <xdr:clientData fLocksWithSheet="0"/>
  </xdr:oneCellAnchor>
  <xdr:oneCellAnchor>
    <xdr:from>
      <xdr:col>8</xdr:col>
      <xdr:colOff>781050</xdr:colOff>
      <xdr:row>1</xdr:row>
      <xdr:rowOff>142875</xdr:rowOff>
    </xdr:from>
    <xdr:ext cx="1447800" cy="2828925"/>
    <xdr:pic>
      <xdr:nvPicPr>
        <xdr:cNvPr id="5" name="image1.png" title="Imag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P23"/>
  <sheetViews>
    <sheetView tabSelected="1" workbookViewId="0">
      <selection activeCell="C22" sqref="C22"/>
    </sheetView>
  </sheetViews>
  <sheetFormatPr baseColWidth="10" defaultColWidth="14.5" defaultRowHeight="15.75" customHeight="1" x14ac:dyDescent="0.15"/>
  <cols>
    <col min="1" max="1" width="23.5" customWidth="1"/>
    <col min="8" max="8" width="18.83203125" customWidth="1"/>
  </cols>
  <sheetData>
    <row r="1" spans="1:16" ht="16" x14ac:dyDescent="0.2">
      <c r="A1" s="2"/>
      <c r="B1" s="3"/>
    </row>
    <row r="2" spans="1:16" ht="17" thickBot="1" x14ac:dyDescent="0.25">
      <c r="A2" s="4"/>
      <c r="B2" s="3"/>
    </row>
    <row r="3" spans="1:16" ht="17" thickBot="1" x14ac:dyDescent="0.25">
      <c r="A3" s="2"/>
      <c r="B3" s="39" t="s">
        <v>89</v>
      </c>
    </row>
    <row r="4" spans="1:16" ht="17" thickBot="1" x14ac:dyDescent="0.25">
      <c r="A4" s="2"/>
      <c r="B4" s="5" t="str">
        <f>MID($B$3,1,1)</f>
        <v>B</v>
      </c>
      <c r="C4" s="5" t="str">
        <f>MID($B$3,2,1)</f>
        <v>r</v>
      </c>
      <c r="D4" s="5" t="str">
        <f>MID($B$3,3,1)</f>
        <v>e</v>
      </c>
      <c r="E4" s="5" t="str">
        <f>MID($B$3,4,1)</f>
        <v>a</v>
      </c>
      <c r="F4" s="5" t="str">
        <f>MID($B$3,5,1)</f>
        <v>d</v>
      </c>
      <c r="H4" s="6" t="s">
        <v>3</v>
      </c>
    </row>
    <row r="5" spans="1:16" ht="20.25" customHeight="1" x14ac:dyDescent="0.15">
      <c r="G5" s="7" t="s">
        <v>4</v>
      </c>
      <c r="H5" s="8" t="s">
        <v>5</v>
      </c>
    </row>
    <row r="6" spans="1:16" ht="32.25" customHeight="1" x14ac:dyDescent="0.2">
      <c r="B6" s="9" t="str">
        <f t="shared" ref="B6:F6" si="0">IF(B15="", "empty",IF(B15=B$4,"green",IF(ISNA(MATCH(B15,$B$4:$F$4,0)),"grey","yellow")))</f>
        <v>empty</v>
      </c>
      <c r="C6" s="10" t="str">
        <f t="shared" si="0"/>
        <v>empty</v>
      </c>
      <c r="D6" s="10" t="str">
        <f t="shared" si="0"/>
        <v>empty</v>
      </c>
      <c r="E6" s="10" t="str">
        <f t="shared" si="0"/>
        <v>empty</v>
      </c>
      <c r="F6" s="11" t="str">
        <f t="shared" si="0"/>
        <v>empty</v>
      </c>
      <c r="G6" s="12"/>
      <c r="H6" s="13"/>
      <c r="L6" s="5">
        <f t="shared" ref="L6:L11" si="1">IF(COUNTIF($B6:$F6,"green")=5,1,0)</f>
        <v>0</v>
      </c>
    </row>
    <row r="7" spans="1:16" ht="32.25" customHeight="1" x14ac:dyDescent="0.2">
      <c r="B7" s="14" t="str">
        <f t="shared" ref="B7:F7" si="2">IF(B16="", "empty",IF(B16=B$4,"green",IF(ISNA(MATCH(B16,$B$4:$F$4,0)),"grey","yellow")))</f>
        <v>empty</v>
      </c>
      <c r="C7" s="15" t="str">
        <f t="shared" si="2"/>
        <v>empty</v>
      </c>
      <c r="D7" s="15" t="str">
        <f t="shared" si="2"/>
        <v>empty</v>
      </c>
      <c r="E7" s="15" t="str">
        <f t="shared" si="2"/>
        <v>empty</v>
      </c>
      <c r="F7" s="16" t="str">
        <f t="shared" si="2"/>
        <v>empty</v>
      </c>
      <c r="G7" s="17"/>
      <c r="H7" s="18"/>
      <c r="L7" s="5">
        <f t="shared" si="1"/>
        <v>0</v>
      </c>
    </row>
    <row r="8" spans="1:16" ht="29.25" customHeight="1" x14ac:dyDescent="0.2">
      <c r="B8" s="14" t="str">
        <f t="shared" ref="B8:F8" si="3">IF(B17="", "empty",IF(B17=B$4,"green",IF(ISNA(MATCH(B17,$B$4:$F$4,0)),"grey","yellow")))</f>
        <v>empty</v>
      </c>
      <c r="C8" s="15" t="str">
        <f t="shared" si="3"/>
        <v>empty</v>
      </c>
      <c r="D8" s="15" t="str">
        <f t="shared" si="3"/>
        <v>empty</v>
      </c>
      <c r="E8" s="15" t="str">
        <f t="shared" si="3"/>
        <v>empty</v>
      </c>
      <c r="F8" s="16" t="str">
        <f t="shared" si="3"/>
        <v>empty</v>
      </c>
      <c r="G8" s="17"/>
      <c r="H8" s="18"/>
      <c r="L8" s="5">
        <f t="shared" si="1"/>
        <v>0</v>
      </c>
    </row>
    <row r="9" spans="1:16" ht="28.5" customHeight="1" x14ac:dyDescent="0.2">
      <c r="B9" s="14" t="str">
        <f t="shared" ref="B9:F9" si="4">IF(B18="", "empty",IF(B18=B$4,"green",IF(ISNA(MATCH(B18,$B$4:$F$4,0)),"grey","yellow")))</f>
        <v>empty</v>
      </c>
      <c r="C9" s="15" t="str">
        <f t="shared" si="4"/>
        <v>empty</v>
      </c>
      <c r="D9" s="15" t="str">
        <f t="shared" si="4"/>
        <v>empty</v>
      </c>
      <c r="E9" s="15" t="str">
        <f t="shared" si="4"/>
        <v>empty</v>
      </c>
      <c r="F9" s="16" t="str">
        <f t="shared" si="4"/>
        <v>empty</v>
      </c>
      <c r="G9" s="17"/>
      <c r="H9" s="18"/>
      <c r="L9" s="5">
        <f t="shared" si="1"/>
        <v>0</v>
      </c>
    </row>
    <row r="10" spans="1:16" ht="32.25" customHeight="1" x14ac:dyDescent="0.2">
      <c r="B10" s="14" t="str">
        <f t="shared" ref="B10:F10" si="5">IF(B19="", "empty",IF(B19=B$4,"green",IF(ISNA(MATCH(B19,$B$4:$F$4,0)),"grey","yellow")))</f>
        <v>empty</v>
      </c>
      <c r="C10" s="15" t="str">
        <f t="shared" si="5"/>
        <v>empty</v>
      </c>
      <c r="D10" s="15" t="str">
        <f t="shared" si="5"/>
        <v>empty</v>
      </c>
      <c r="E10" s="15" t="str">
        <f t="shared" si="5"/>
        <v>empty</v>
      </c>
      <c r="F10" s="16" t="str">
        <f t="shared" si="5"/>
        <v>empty</v>
      </c>
      <c r="G10" s="17"/>
      <c r="H10" s="18"/>
      <c r="L10" s="5">
        <f t="shared" si="1"/>
        <v>0</v>
      </c>
    </row>
    <row r="11" spans="1:16" ht="31.5" customHeight="1" x14ac:dyDescent="0.2">
      <c r="B11" s="19" t="str">
        <f t="shared" ref="B11:F11" si="6">IF(B20="", "empty",IF(B20=B$4,"green",IF(ISNA(MATCH(B20,$B$4:$F$4,0)),"grey","yellow")))</f>
        <v>empty</v>
      </c>
      <c r="C11" s="20" t="str">
        <f t="shared" si="6"/>
        <v>empty</v>
      </c>
      <c r="D11" s="20" t="str">
        <f t="shared" si="6"/>
        <v>empty</v>
      </c>
      <c r="E11" s="20" t="str">
        <f t="shared" si="6"/>
        <v>empty</v>
      </c>
      <c r="F11" s="21" t="str">
        <f t="shared" si="6"/>
        <v>empty</v>
      </c>
      <c r="G11" s="22"/>
      <c r="H11" s="23"/>
      <c r="L11" s="5">
        <f t="shared" si="1"/>
        <v>0</v>
      </c>
    </row>
    <row r="12" spans="1:16" ht="30.75" customHeight="1" x14ac:dyDescent="0.2">
      <c r="B12" s="24"/>
      <c r="C12" s="24"/>
      <c r="D12" s="24"/>
      <c r="E12" s="24"/>
      <c r="F12" s="24"/>
      <c r="G12" s="25"/>
      <c r="H12" s="26" t="str">
        <f ca="1">IF(L12=-1, "", IF(INDIRECT("B"&amp;(5+L12))="empty", 0, IF(COUNTIF(INDIRECT("B"&amp;(5+L12)):INDIRECT("F"&amp;(5+L12)),"green")=5,"Congrats! The answer is "&amp; UPPER(B3) &amp;"~","GAME OVER! Better luck next time ;(")))</f>
        <v/>
      </c>
      <c r="L12" s="27">
        <f>IF(NOT(B11="empty"),6,IF(ISNA(MATCH(1,L6:L11,0)),-1,MATCH(1,L6:L11,0)))</f>
        <v>-1</v>
      </c>
    </row>
    <row r="13" spans="1:16" ht="25.5" customHeight="1" x14ac:dyDescent="0.15"/>
    <row r="14" spans="1:16" ht="16" x14ac:dyDescent="0.2">
      <c r="H14" s="28" t="s">
        <v>6</v>
      </c>
      <c r="N14" s="5" t="str">
        <f>H6&amp;H7&amp;H8&amp;H9&amp;H10&amp;H11</f>
        <v/>
      </c>
      <c r="O14" s="5"/>
      <c r="P14" s="5"/>
    </row>
    <row r="15" spans="1:16" ht="16" x14ac:dyDescent="0.2">
      <c r="B15" s="27" t="str">
        <f t="shared" ref="B15:B20" si="7">MID($H6,1,1)</f>
        <v/>
      </c>
      <c r="C15" s="27" t="str">
        <f t="shared" ref="C15:C20" si="8">MID($H6,2,1)</f>
        <v/>
      </c>
      <c r="D15" s="27" t="str">
        <f t="shared" ref="D15:D20" si="9">MID($H6,3,1)</f>
        <v/>
      </c>
      <c r="E15" s="27" t="str">
        <f t="shared" ref="E15:E20" si="10">MID($H6,4,1)</f>
        <v/>
      </c>
      <c r="F15" s="27" t="str">
        <f t="shared" ref="F15:F20" si="11">MID($H6,5,1)</f>
        <v/>
      </c>
      <c r="H15" s="9" t="s">
        <v>7</v>
      </c>
      <c r="I15" s="29" t="s">
        <v>8</v>
      </c>
      <c r="J15" s="30" t="s">
        <v>9</v>
      </c>
      <c r="N15" s="31" t="str">
        <f t="shared" ref="N15:P15" si="12">IF(ISNUMBER(SEARCH(H15,$N$14)),IF(ISNA(MATCH(H15,$B$4:$F$4,0)),"found not","found"),"not entered")</f>
        <v>not entered</v>
      </c>
      <c r="O15" s="31" t="str">
        <f t="shared" si="12"/>
        <v>not entered</v>
      </c>
      <c r="P15" s="31" t="str">
        <f t="shared" si="12"/>
        <v>not entered</v>
      </c>
    </row>
    <row r="16" spans="1:16" ht="16" x14ac:dyDescent="0.2">
      <c r="B16" s="27" t="str">
        <f t="shared" si="7"/>
        <v/>
      </c>
      <c r="C16" s="27" t="str">
        <f t="shared" si="8"/>
        <v/>
      </c>
      <c r="D16" s="27" t="str">
        <f t="shared" si="9"/>
        <v/>
      </c>
      <c r="E16" s="27" t="str">
        <f t="shared" si="10"/>
        <v/>
      </c>
      <c r="F16" s="27" t="str">
        <f t="shared" si="11"/>
        <v/>
      </c>
      <c r="H16" s="32" t="s">
        <v>10</v>
      </c>
      <c r="I16" s="33" t="s">
        <v>11</v>
      </c>
      <c r="J16" s="34" t="s">
        <v>12</v>
      </c>
      <c r="N16" s="31" t="str">
        <f t="shared" ref="N16:P16" si="13">IF(ISNUMBER(SEARCH(H16,$N$14)),IF(ISNA(MATCH(H16,$B$4:$F$4,0)),"found not","found"),"not entered")</f>
        <v>not entered</v>
      </c>
      <c r="O16" s="31" t="str">
        <f t="shared" si="13"/>
        <v>not entered</v>
      </c>
      <c r="P16" s="31" t="str">
        <f t="shared" si="13"/>
        <v>not entered</v>
      </c>
    </row>
    <row r="17" spans="2:16" ht="16" x14ac:dyDescent="0.2">
      <c r="B17" s="27" t="str">
        <f t="shared" si="7"/>
        <v/>
      </c>
      <c r="C17" s="27" t="str">
        <f t="shared" si="8"/>
        <v/>
      </c>
      <c r="D17" s="27" t="str">
        <f t="shared" si="9"/>
        <v/>
      </c>
      <c r="E17" s="27" t="str">
        <f t="shared" si="10"/>
        <v/>
      </c>
      <c r="F17" s="27" t="str">
        <f t="shared" si="11"/>
        <v/>
      </c>
      <c r="H17" s="32" t="s">
        <v>13</v>
      </c>
      <c r="I17" s="33" t="s">
        <v>14</v>
      </c>
      <c r="J17" s="34" t="s">
        <v>15</v>
      </c>
      <c r="N17" s="31" t="str">
        <f t="shared" ref="N17:P17" si="14">IF(ISNUMBER(SEARCH(H17,$N$14)),IF(ISNA(MATCH(H17,$B$4:$F$4,0)),"found not","found"),"not entered")</f>
        <v>not entered</v>
      </c>
      <c r="O17" s="31" t="str">
        <f t="shared" si="14"/>
        <v>not entered</v>
      </c>
      <c r="P17" s="31" t="str">
        <f t="shared" si="14"/>
        <v>not entered</v>
      </c>
    </row>
    <row r="18" spans="2:16" ht="16" x14ac:dyDescent="0.2">
      <c r="B18" s="27" t="str">
        <f t="shared" si="7"/>
        <v/>
      </c>
      <c r="C18" s="27" t="str">
        <f t="shared" si="8"/>
        <v/>
      </c>
      <c r="D18" s="27" t="str">
        <f t="shared" si="9"/>
        <v/>
      </c>
      <c r="E18" s="27" t="str">
        <f t="shared" si="10"/>
        <v/>
      </c>
      <c r="F18" s="27" t="str">
        <f t="shared" si="11"/>
        <v/>
      </c>
      <c r="H18" s="32" t="s">
        <v>16</v>
      </c>
      <c r="I18" s="33" t="s">
        <v>17</v>
      </c>
      <c r="J18" s="34" t="s">
        <v>18</v>
      </c>
      <c r="N18" s="31" t="str">
        <f t="shared" ref="N18:P18" si="15">IF(ISNUMBER(SEARCH(H18,$N$14)),IF(ISNA(MATCH(H18,$B$4:$F$4,0)),"found not","found"),"not entered")</f>
        <v>not entered</v>
      </c>
      <c r="O18" s="31" t="str">
        <f t="shared" si="15"/>
        <v>not entered</v>
      </c>
      <c r="P18" s="31" t="str">
        <f t="shared" si="15"/>
        <v>not entered</v>
      </c>
    </row>
    <row r="19" spans="2:16" ht="16" x14ac:dyDescent="0.2">
      <c r="B19" s="27" t="str">
        <f t="shared" si="7"/>
        <v/>
      </c>
      <c r="C19" s="27" t="str">
        <f t="shared" si="8"/>
        <v/>
      </c>
      <c r="D19" s="27" t="str">
        <f t="shared" si="9"/>
        <v/>
      </c>
      <c r="E19" s="27" t="str">
        <f t="shared" si="10"/>
        <v/>
      </c>
      <c r="F19" s="27" t="str">
        <f t="shared" si="11"/>
        <v/>
      </c>
      <c r="H19" s="32" t="s">
        <v>19</v>
      </c>
      <c r="I19" s="33" t="s">
        <v>20</v>
      </c>
      <c r="J19" s="34" t="s">
        <v>21</v>
      </c>
      <c r="N19" s="31" t="str">
        <f t="shared" ref="N19:P19" si="16">IF(ISNUMBER(SEARCH(H19,$N$14)),IF(ISNA(MATCH(H19,$B$4:$F$4,0)),"found not","found"),"not entered")</f>
        <v>not entered</v>
      </c>
      <c r="O19" s="31" t="str">
        <f t="shared" si="16"/>
        <v>not entered</v>
      </c>
      <c r="P19" s="31" t="str">
        <f t="shared" si="16"/>
        <v>not entered</v>
      </c>
    </row>
    <row r="20" spans="2:16" ht="16" x14ac:dyDescent="0.2">
      <c r="B20" s="27" t="str">
        <f t="shared" si="7"/>
        <v/>
      </c>
      <c r="C20" s="27" t="str">
        <f t="shared" si="8"/>
        <v/>
      </c>
      <c r="D20" s="27" t="str">
        <f t="shared" si="9"/>
        <v/>
      </c>
      <c r="E20" s="27" t="str">
        <f t="shared" si="10"/>
        <v/>
      </c>
      <c r="F20" s="27" t="str">
        <f t="shared" si="11"/>
        <v/>
      </c>
      <c r="H20" s="32" t="s">
        <v>22</v>
      </c>
      <c r="I20" s="33" t="s">
        <v>23</v>
      </c>
      <c r="J20" s="34" t="s">
        <v>24</v>
      </c>
      <c r="N20" s="31" t="str">
        <f t="shared" ref="N20:P20" si="17">IF(ISNUMBER(SEARCH(H20,$N$14)),IF(ISNA(MATCH(H20,$B$4:$F$4,0)),"found not","found"),"not entered")</f>
        <v>not entered</v>
      </c>
      <c r="O20" s="31" t="str">
        <f t="shared" si="17"/>
        <v>not entered</v>
      </c>
      <c r="P20" s="31" t="str">
        <f t="shared" si="17"/>
        <v>not entered</v>
      </c>
    </row>
    <row r="21" spans="2:16" ht="16" x14ac:dyDescent="0.2">
      <c r="H21" s="32" t="s">
        <v>25</v>
      </c>
      <c r="I21" s="33" t="s">
        <v>26</v>
      </c>
      <c r="J21" s="34" t="s">
        <v>27</v>
      </c>
      <c r="N21" s="31" t="str">
        <f t="shared" ref="N21:P21" si="18">IF(ISNUMBER(SEARCH(H21,$N$14)),IF(ISNA(MATCH(H21,$B$4:$F$4,0)),"found not","found"),"not entered")</f>
        <v>not entered</v>
      </c>
      <c r="O21" s="31" t="str">
        <f t="shared" si="18"/>
        <v>not entered</v>
      </c>
      <c r="P21" s="31" t="str">
        <f t="shared" si="18"/>
        <v>not entered</v>
      </c>
    </row>
    <row r="22" spans="2:16" ht="16" x14ac:dyDescent="0.2">
      <c r="H22" s="32" t="s">
        <v>28</v>
      </c>
      <c r="I22" s="33" t="s">
        <v>29</v>
      </c>
      <c r="J22" s="34" t="s">
        <v>30</v>
      </c>
      <c r="N22" s="31" t="str">
        <f t="shared" ref="N22:P22" si="19">IF(ISNUMBER(SEARCH(H22,$N$14)),IF(ISNA(MATCH(H22,$B$4:$F$4,0)),"found not","found"),"not entered")</f>
        <v>not entered</v>
      </c>
      <c r="O22" s="31" t="str">
        <f t="shared" si="19"/>
        <v>not entered</v>
      </c>
      <c r="P22" s="31" t="str">
        <f t="shared" si="19"/>
        <v>not entered</v>
      </c>
    </row>
    <row r="23" spans="2:16" ht="16" x14ac:dyDescent="0.2">
      <c r="H23" s="35" t="s">
        <v>0</v>
      </c>
      <c r="I23" s="36" t="s">
        <v>31</v>
      </c>
      <c r="J23" s="37"/>
      <c r="N23" s="31" t="str">
        <f t="shared" ref="N23:O23" si="20">IF(ISNUMBER(SEARCH(H23,$N$14)),IF(ISNA(MATCH(H23,$B$4:$F$4,0)),"found not","found"),"not entered")</f>
        <v>not entered</v>
      </c>
      <c r="O23" s="31" t="str">
        <f t="shared" si="20"/>
        <v>not entered</v>
      </c>
      <c r="P23" s="31"/>
    </row>
  </sheetData>
  <conditionalFormatting sqref="B15:F20">
    <cfRule type="expression" dxfId="7" priority="1">
      <formula>"grey"</formula>
    </cfRule>
  </conditionalFormatting>
  <conditionalFormatting sqref="B6:F12">
    <cfRule type="cellIs" dxfId="6" priority="2" operator="equal">
      <formula>"green"</formula>
    </cfRule>
  </conditionalFormatting>
  <conditionalFormatting sqref="B6:F12">
    <cfRule type="cellIs" dxfId="5" priority="3" operator="equal">
      <formula>"grey"</formula>
    </cfRule>
  </conditionalFormatting>
  <conditionalFormatting sqref="B6:F12">
    <cfRule type="cellIs" dxfId="4" priority="4" operator="equal">
      <formula>"yellow"</formula>
    </cfRule>
  </conditionalFormatting>
  <conditionalFormatting sqref="B6:F12">
    <cfRule type="cellIs" dxfId="3" priority="5" operator="equal">
      <formula>"empty"</formula>
    </cfRule>
  </conditionalFormatting>
  <conditionalFormatting sqref="H12">
    <cfRule type="cellIs" dxfId="2" priority="6" operator="equal">
      <formula>0</formula>
    </cfRule>
  </conditionalFormatting>
  <conditionalFormatting sqref="H15:J23">
    <cfRule type="expression" dxfId="1" priority="7">
      <formula>N15="found"</formula>
    </cfRule>
  </conditionalFormatting>
  <conditionalFormatting sqref="H15:J23">
    <cfRule type="expression" dxfId="0" priority="8">
      <formula>N15="found not"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B1:F473"/>
  <sheetViews>
    <sheetView workbookViewId="0">
      <selection activeCell="F2" sqref="F2"/>
    </sheetView>
  </sheetViews>
  <sheetFormatPr baseColWidth="10" defaultColWidth="14.5" defaultRowHeight="15.75" customHeight="1" x14ac:dyDescent="0.15"/>
  <sheetData>
    <row r="1" spans="2:6" ht="15.75" customHeight="1" x14ac:dyDescent="0.15">
      <c r="C1" s="1" t="s">
        <v>32</v>
      </c>
      <c r="D1" s="1" t="s">
        <v>33</v>
      </c>
      <c r="E1" s="1" t="s">
        <v>34</v>
      </c>
    </row>
    <row r="2" spans="2:6" ht="15.75" customHeight="1" x14ac:dyDescent="0.15">
      <c r="B2" s="33" t="s">
        <v>35</v>
      </c>
      <c r="C2" s="33">
        <f t="shared" ref="C2:E473" ca="1" si="0">RANDBETWEEN(2,473)</f>
        <v>68</v>
      </c>
      <c r="D2" s="38">
        <v>265</v>
      </c>
      <c r="E2" s="33">
        <v>112</v>
      </c>
      <c r="F2" s="39" t="str">
        <f ca="1">INDIRECT("B"&amp;INDIRECT("D"&amp;E2))</f>
        <v>Bread</v>
      </c>
    </row>
    <row r="3" spans="2:6" ht="15.75" customHeight="1" x14ac:dyDescent="0.15">
      <c r="B3" s="33" t="s">
        <v>36</v>
      </c>
      <c r="C3" s="33">
        <f t="shared" ca="1" si="0"/>
        <v>217</v>
      </c>
      <c r="D3" s="33">
        <v>284</v>
      </c>
    </row>
    <row r="4" spans="2:6" ht="15.75" customHeight="1" x14ac:dyDescent="0.15">
      <c r="B4" s="33" t="s">
        <v>37</v>
      </c>
      <c r="C4" s="33">
        <f t="shared" ca="1" si="0"/>
        <v>68</v>
      </c>
      <c r="D4" s="33">
        <v>61</v>
      </c>
    </row>
    <row r="5" spans="2:6" ht="15.75" customHeight="1" x14ac:dyDescent="0.15">
      <c r="B5" s="33" t="s">
        <v>38</v>
      </c>
      <c r="C5" s="33">
        <f t="shared" ca="1" si="0"/>
        <v>196</v>
      </c>
      <c r="D5" s="33">
        <v>418</v>
      </c>
    </row>
    <row r="6" spans="2:6" ht="15.75" customHeight="1" x14ac:dyDescent="0.15">
      <c r="B6" s="33" t="s">
        <v>39</v>
      </c>
      <c r="C6" s="33">
        <f t="shared" ca="1" si="0"/>
        <v>394</v>
      </c>
      <c r="D6" s="33">
        <v>143</v>
      </c>
    </row>
    <row r="7" spans="2:6" ht="15.75" customHeight="1" x14ac:dyDescent="0.15">
      <c r="B7" s="33" t="s">
        <v>40</v>
      </c>
      <c r="C7" s="33">
        <f t="shared" ca="1" si="0"/>
        <v>48</v>
      </c>
      <c r="D7" s="33">
        <v>381</v>
      </c>
    </row>
    <row r="8" spans="2:6" ht="15.75" customHeight="1" x14ac:dyDescent="0.15">
      <c r="B8" s="33" t="s">
        <v>41</v>
      </c>
      <c r="C8" s="33">
        <f t="shared" ca="1" si="0"/>
        <v>463</v>
      </c>
      <c r="D8" s="33">
        <v>435</v>
      </c>
    </row>
    <row r="9" spans="2:6" ht="15.75" customHeight="1" x14ac:dyDescent="0.15">
      <c r="B9" s="33" t="s">
        <v>42</v>
      </c>
      <c r="C9" s="33">
        <f t="shared" ca="1" si="0"/>
        <v>102</v>
      </c>
      <c r="D9" s="33">
        <v>103</v>
      </c>
    </row>
    <row r="10" spans="2:6" ht="15.75" customHeight="1" x14ac:dyDescent="0.15">
      <c r="B10" s="33" t="s">
        <v>43</v>
      </c>
      <c r="C10" s="33">
        <f t="shared" ca="1" si="0"/>
        <v>445</v>
      </c>
      <c r="D10" s="33">
        <v>155</v>
      </c>
    </row>
    <row r="11" spans="2:6" ht="15.75" customHeight="1" x14ac:dyDescent="0.15">
      <c r="B11" s="33" t="s">
        <v>44</v>
      </c>
      <c r="C11" s="33">
        <f t="shared" ca="1" si="0"/>
        <v>97</v>
      </c>
      <c r="D11" s="33">
        <v>204</v>
      </c>
    </row>
    <row r="12" spans="2:6" ht="15.75" customHeight="1" x14ac:dyDescent="0.15">
      <c r="B12" s="33" t="s">
        <v>45</v>
      </c>
      <c r="C12" s="33">
        <f t="shared" ca="1" si="0"/>
        <v>345</v>
      </c>
      <c r="D12" s="33">
        <v>348</v>
      </c>
    </row>
    <row r="13" spans="2:6" ht="15.75" customHeight="1" x14ac:dyDescent="0.15">
      <c r="B13" s="33" t="s">
        <v>46</v>
      </c>
      <c r="C13" s="33">
        <f t="shared" ca="1" si="0"/>
        <v>129</v>
      </c>
      <c r="D13" s="33">
        <v>132</v>
      </c>
    </row>
    <row r="14" spans="2:6" ht="15.75" customHeight="1" x14ac:dyDescent="0.15">
      <c r="B14" s="33" t="s">
        <v>47</v>
      </c>
      <c r="C14" s="33">
        <f t="shared" ca="1" si="0"/>
        <v>449</v>
      </c>
      <c r="D14" s="33">
        <v>33</v>
      </c>
    </row>
    <row r="15" spans="2:6" ht="15.75" customHeight="1" x14ac:dyDescent="0.15">
      <c r="B15" s="33" t="s">
        <v>48</v>
      </c>
      <c r="C15" s="33">
        <f t="shared" ca="1" si="0"/>
        <v>262</v>
      </c>
      <c r="D15" s="33">
        <v>434</v>
      </c>
    </row>
    <row r="16" spans="2:6" ht="15.75" customHeight="1" x14ac:dyDescent="0.15">
      <c r="B16" s="33" t="s">
        <v>49</v>
      </c>
      <c r="C16" s="33">
        <f t="shared" ca="1" si="0"/>
        <v>421</v>
      </c>
      <c r="D16" s="33">
        <v>346</v>
      </c>
    </row>
    <row r="17" spans="2:4" ht="15.75" customHeight="1" x14ac:dyDescent="0.15">
      <c r="B17" s="33" t="s">
        <v>50</v>
      </c>
      <c r="C17" s="33">
        <f t="shared" ca="1" si="0"/>
        <v>313</v>
      </c>
      <c r="D17" s="33">
        <v>267</v>
      </c>
    </row>
    <row r="18" spans="2:4" ht="15.75" customHeight="1" x14ac:dyDescent="0.15">
      <c r="B18" s="33" t="s">
        <v>51</v>
      </c>
      <c r="C18" s="33">
        <f t="shared" ca="1" si="0"/>
        <v>14</v>
      </c>
      <c r="D18" s="33">
        <v>115</v>
      </c>
    </row>
    <row r="19" spans="2:4" ht="15.75" customHeight="1" x14ac:dyDescent="0.15">
      <c r="B19" s="33" t="s">
        <v>52</v>
      </c>
      <c r="C19" s="33">
        <f t="shared" ca="1" si="0"/>
        <v>413</v>
      </c>
      <c r="D19" s="33">
        <v>248</v>
      </c>
    </row>
    <row r="20" spans="2:4" ht="15.75" customHeight="1" x14ac:dyDescent="0.15">
      <c r="B20" s="33" t="s">
        <v>53</v>
      </c>
      <c r="C20" s="33">
        <f t="shared" ca="1" si="0"/>
        <v>269</v>
      </c>
      <c r="D20" s="33">
        <v>193</v>
      </c>
    </row>
    <row r="21" spans="2:4" ht="15.75" customHeight="1" x14ac:dyDescent="0.15">
      <c r="B21" s="33" t="s">
        <v>54</v>
      </c>
      <c r="C21" s="33">
        <f t="shared" ca="1" si="0"/>
        <v>77</v>
      </c>
      <c r="D21" s="33">
        <v>246</v>
      </c>
    </row>
    <row r="22" spans="2:4" ht="15.75" customHeight="1" x14ac:dyDescent="0.15">
      <c r="B22" s="33" t="s">
        <v>55</v>
      </c>
      <c r="C22" s="33">
        <f t="shared" ca="1" si="0"/>
        <v>298</v>
      </c>
      <c r="D22" s="33">
        <v>462</v>
      </c>
    </row>
    <row r="23" spans="2:4" ht="15.75" customHeight="1" x14ac:dyDescent="0.15">
      <c r="B23" s="33" t="s">
        <v>56</v>
      </c>
      <c r="C23" s="33">
        <f t="shared" ca="1" si="0"/>
        <v>144</v>
      </c>
      <c r="D23" s="33">
        <v>125</v>
      </c>
    </row>
    <row r="24" spans="2:4" ht="15.75" customHeight="1" x14ac:dyDescent="0.15">
      <c r="B24" s="33" t="s">
        <v>57</v>
      </c>
      <c r="C24" s="33">
        <f t="shared" ca="1" si="0"/>
        <v>441</v>
      </c>
      <c r="D24" s="33">
        <v>385</v>
      </c>
    </row>
    <row r="25" spans="2:4" ht="15.75" customHeight="1" x14ac:dyDescent="0.15">
      <c r="B25" s="33" t="s">
        <v>58</v>
      </c>
      <c r="C25" s="33">
        <f t="shared" ca="1" si="0"/>
        <v>395</v>
      </c>
      <c r="D25" s="33">
        <v>415</v>
      </c>
    </row>
    <row r="26" spans="2:4" ht="15.75" customHeight="1" x14ac:dyDescent="0.15">
      <c r="B26" s="33" t="s">
        <v>59</v>
      </c>
      <c r="C26" s="33">
        <f t="shared" ca="1" si="0"/>
        <v>337</v>
      </c>
      <c r="D26" s="33">
        <v>445</v>
      </c>
    </row>
    <row r="27" spans="2:4" ht="15.75" customHeight="1" x14ac:dyDescent="0.15">
      <c r="B27" s="33" t="s">
        <v>60</v>
      </c>
      <c r="C27" s="33">
        <f t="shared" ca="1" si="0"/>
        <v>101</v>
      </c>
      <c r="D27" s="33">
        <v>319</v>
      </c>
    </row>
    <row r="28" spans="2:4" ht="15.75" customHeight="1" x14ac:dyDescent="0.15">
      <c r="B28" s="33" t="s">
        <v>61</v>
      </c>
      <c r="C28" s="33">
        <f t="shared" ca="1" si="0"/>
        <v>109</v>
      </c>
      <c r="D28" s="33">
        <v>205</v>
      </c>
    </row>
    <row r="29" spans="2:4" ht="15.75" customHeight="1" x14ac:dyDescent="0.15">
      <c r="B29" s="33" t="s">
        <v>62</v>
      </c>
      <c r="C29" s="33">
        <f t="shared" ca="1" si="0"/>
        <v>132</v>
      </c>
      <c r="D29" s="33">
        <v>470</v>
      </c>
    </row>
    <row r="30" spans="2:4" ht="15.75" customHeight="1" x14ac:dyDescent="0.15">
      <c r="B30" s="33" t="s">
        <v>63</v>
      </c>
      <c r="C30" s="33">
        <f t="shared" ca="1" si="0"/>
        <v>148</v>
      </c>
      <c r="D30" s="33">
        <v>280</v>
      </c>
    </row>
    <row r="31" spans="2:4" ht="15.75" customHeight="1" x14ac:dyDescent="0.15">
      <c r="B31" s="33" t="s">
        <v>64</v>
      </c>
      <c r="C31" s="33">
        <f t="shared" ca="1" si="0"/>
        <v>81</v>
      </c>
      <c r="D31" s="33">
        <v>169</v>
      </c>
    </row>
    <row r="32" spans="2:4" ht="15.75" customHeight="1" x14ac:dyDescent="0.15">
      <c r="B32" s="33" t="s">
        <v>65</v>
      </c>
      <c r="C32" s="33">
        <f t="shared" ca="1" si="0"/>
        <v>454</v>
      </c>
      <c r="D32" s="33">
        <v>320</v>
      </c>
    </row>
    <row r="33" spans="2:4" ht="15.75" customHeight="1" x14ac:dyDescent="0.15">
      <c r="B33" s="33" t="s">
        <v>66</v>
      </c>
      <c r="C33" s="33">
        <f t="shared" ca="1" si="0"/>
        <v>335</v>
      </c>
      <c r="D33" s="33">
        <v>463</v>
      </c>
    </row>
    <row r="34" spans="2:4" ht="15.75" customHeight="1" x14ac:dyDescent="0.15">
      <c r="B34" s="33" t="s">
        <v>67</v>
      </c>
      <c r="C34" s="33">
        <f t="shared" ca="1" si="0"/>
        <v>376</v>
      </c>
      <c r="D34" s="33">
        <v>333</v>
      </c>
    </row>
    <row r="35" spans="2:4" ht="15.75" customHeight="1" x14ac:dyDescent="0.15">
      <c r="B35" s="33" t="s">
        <v>68</v>
      </c>
      <c r="C35" s="33">
        <f t="shared" ca="1" si="0"/>
        <v>389</v>
      </c>
      <c r="D35" s="33">
        <v>200</v>
      </c>
    </row>
    <row r="36" spans="2:4" ht="15.75" customHeight="1" x14ac:dyDescent="0.15">
      <c r="B36" s="33" t="s">
        <v>69</v>
      </c>
      <c r="C36" s="33">
        <f t="shared" ca="1" si="0"/>
        <v>77</v>
      </c>
      <c r="D36" s="33">
        <v>190</v>
      </c>
    </row>
    <row r="37" spans="2:4" ht="15.75" customHeight="1" x14ac:dyDescent="0.15">
      <c r="B37" s="33" t="s">
        <v>70</v>
      </c>
      <c r="C37" s="33">
        <f t="shared" ca="1" si="0"/>
        <v>405</v>
      </c>
      <c r="D37" s="33">
        <v>57</v>
      </c>
    </row>
    <row r="38" spans="2:4" ht="15.75" customHeight="1" x14ac:dyDescent="0.15">
      <c r="B38" s="33" t="s">
        <v>71</v>
      </c>
      <c r="C38" s="33">
        <f t="shared" ca="1" si="0"/>
        <v>341</v>
      </c>
      <c r="D38" s="33">
        <v>240</v>
      </c>
    </row>
    <row r="39" spans="2:4" ht="15.75" customHeight="1" x14ac:dyDescent="0.15">
      <c r="B39" s="33" t="s">
        <v>72</v>
      </c>
      <c r="C39" s="33">
        <f t="shared" ca="1" si="0"/>
        <v>88</v>
      </c>
      <c r="D39" s="33">
        <v>216</v>
      </c>
    </row>
    <row r="40" spans="2:4" ht="15.75" customHeight="1" x14ac:dyDescent="0.15">
      <c r="B40" s="33" t="s">
        <v>73</v>
      </c>
      <c r="C40" s="33">
        <f t="shared" ca="1" si="0"/>
        <v>327</v>
      </c>
      <c r="D40" s="33">
        <v>26</v>
      </c>
    </row>
    <row r="41" spans="2:4" ht="15.75" customHeight="1" x14ac:dyDescent="0.15">
      <c r="B41" s="33" t="s">
        <v>74</v>
      </c>
      <c r="C41" s="33">
        <f t="shared" ca="1" si="0"/>
        <v>82</v>
      </c>
      <c r="D41" s="33">
        <v>325</v>
      </c>
    </row>
    <row r="42" spans="2:4" ht="15.75" customHeight="1" x14ac:dyDescent="0.15">
      <c r="B42" s="33" t="s">
        <v>75</v>
      </c>
      <c r="C42" s="33">
        <f t="shared" ca="1" si="0"/>
        <v>324</v>
      </c>
      <c r="D42" s="33">
        <v>78</v>
      </c>
    </row>
    <row r="43" spans="2:4" ht="15.75" customHeight="1" x14ac:dyDescent="0.15">
      <c r="B43" s="33" t="s">
        <v>76</v>
      </c>
      <c r="C43" s="33">
        <f t="shared" ca="1" si="0"/>
        <v>313</v>
      </c>
      <c r="D43" s="33">
        <v>258</v>
      </c>
    </row>
    <row r="44" spans="2:4" ht="15.75" customHeight="1" x14ac:dyDescent="0.15">
      <c r="B44" s="33" t="s">
        <v>77</v>
      </c>
      <c r="C44" s="33">
        <f t="shared" ca="1" si="0"/>
        <v>469</v>
      </c>
      <c r="D44" s="33">
        <v>360</v>
      </c>
    </row>
    <row r="45" spans="2:4" ht="15.75" customHeight="1" x14ac:dyDescent="0.15">
      <c r="B45" s="33" t="s">
        <v>78</v>
      </c>
      <c r="C45" s="33">
        <f t="shared" ca="1" si="0"/>
        <v>8</v>
      </c>
      <c r="D45" s="33">
        <v>365</v>
      </c>
    </row>
    <row r="46" spans="2:4" ht="15.75" customHeight="1" x14ac:dyDescent="0.15">
      <c r="B46" s="33" t="s">
        <v>79</v>
      </c>
      <c r="C46" s="33">
        <f t="shared" ca="1" si="0"/>
        <v>199</v>
      </c>
      <c r="D46" s="33">
        <v>378</v>
      </c>
    </row>
    <row r="47" spans="2:4" ht="15.75" customHeight="1" x14ac:dyDescent="0.15">
      <c r="B47" s="33" t="s">
        <v>80</v>
      </c>
      <c r="C47" s="33">
        <f t="shared" ca="1" si="0"/>
        <v>424</v>
      </c>
      <c r="D47" s="33">
        <v>122</v>
      </c>
    </row>
    <row r="48" spans="2:4" ht="13" x14ac:dyDescent="0.15">
      <c r="B48" s="33" t="s">
        <v>81</v>
      </c>
      <c r="C48" s="33">
        <f t="shared" ca="1" si="0"/>
        <v>125</v>
      </c>
      <c r="D48" s="33">
        <v>138</v>
      </c>
    </row>
    <row r="49" spans="2:4" ht="13" x14ac:dyDescent="0.15">
      <c r="B49" s="33" t="s">
        <v>82</v>
      </c>
      <c r="C49" s="33">
        <f t="shared" ca="1" si="0"/>
        <v>190</v>
      </c>
      <c r="D49" s="33">
        <v>43</v>
      </c>
    </row>
    <row r="50" spans="2:4" ht="13" x14ac:dyDescent="0.15">
      <c r="B50" s="33" t="s">
        <v>83</v>
      </c>
      <c r="C50" s="33">
        <f t="shared" ca="1" si="0"/>
        <v>94</v>
      </c>
      <c r="D50" s="33">
        <v>458</v>
      </c>
    </row>
    <row r="51" spans="2:4" ht="13" x14ac:dyDescent="0.15">
      <c r="B51" s="33" t="s">
        <v>84</v>
      </c>
      <c r="C51" s="33">
        <f t="shared" ca="1" si="0"/>
        <v>374</v>
      </c>
      <c r="D51" s="33">
        <v>86</v>
      </c>
    </row>
    <row r="52" spans="2:4" ht="13" x14ac:dyDescent="0.15">
      <c r="B52" s="33" t="s">
        <v>85</v>
      </c>
      <c r="C52" s="33">
        <f t="shared" ca="1" si="0"/>
        <v>287</v>
      </c>
      <c r="D52" s="33">
        <v>378</v>
      </c>
    </row>
    <row r="53" spans="2:4" ht="13" x14ac:dyDescent="0.15">
      <c r="B53" s="33" t="s">
        <v>86</v>
      </c>
      <c r="C53" s="33">
        <f t="shared" ca="1" si="0"/>
        <v>260</v>
      </c>
      <c r="D53" s="33">
        <v>67</v>
      </c>
    </row>
    <row r="54" spans="2:4" ht="13" x14ac:dyDescent="0.15">
      <c r="B54" s="33" t="s">
        <v>87</v>
      </c>
      <c r="C54" s="33">
        <f t="shared" ca="1" si="0"/>
        <v>234</v>
      </c>
      <c r="D54" s="33">
        <v>137</v>
      </c>
    </row>
    <row r="55" spans="2:4" ht="13" x14ac:dyDescent="0.15">
      <c r="B55" s="33" t="s">
        <v>88</v>
      </c>
      <c r="C55" s="33">
        <f t="shared" ca="1" si="0"/>
        <v>173</v>
      </c>
      <c r="D55" s="33">
        <v>386</v>
      </c>
    </row>
    <row r="56" spans="2:4" ht="13" x14ac:dyDescent="0.15">
      <c r="B56" s="33" t="s">
        <v>89</v>
      </c>
      <c r="C56" s="33">
        <f t="shared" ca="1" si="0"/>
        <v>6</v>
      </c>
      <c r="D56" s="33">
        <v>62</v>
      </c>
    </row>
    <row r="57" spans="2:4" ht="13" x14ac:dyDescent="0.15">
      <c r="B57" s="33" t="s">
        <v>90</v>
      </c>
      <c r="C57" s="33">
        <f t="shared" ca="1" si="0"/>
        <v>37</v>
      </c>
      <c r="D57" s="33">
        <v>126</v>
      </c>
    </row>
    <row r="58" spans="2:4" ht="13" x14ac:dyDescent="0.15">
      <c r="B58" s="33" t="s">
        <v>91</v>
      </c>
      <c r="C58" s="33">
        <f t="shared" ca="1" si="0"/>
        <v>310</v>
      </c>
      <c r="D58" s="33">
        <v>438</v>
      </c>
    </row>
    <row r="59" spans="2:4" ht="13" x14ac:dyDescent="0.15">
      <c r="B59" s="33" t="s">
        <v>92</v>
      </c>
      <c r="C59" s="33">
        <f t="shared" ca="1" si="0"/>
        <v>347</v>
      </c>
      <c r="D59" s="33">
        <v>48</v>
      </c>
    </row>
    <row r="60" spans="2:4" ht="13" x14ac:dyDescent="0.15">
      <c r="B60" s="33" t="s">
        <v>93</v>
      </c>
      <c r="C60" s="33">
        <f t="shared" ca="1" si="0"/>
        <v>10</v>
      </c>
      <c r="D60" s="33">
        <v>409</v>
      </c>
    </row>
    <row r="61" spans="2:4" ht="13" x14ac:dyDescent="0.15">
      <c r="B61" s="33" t="s">
        <v>94</v>
      </c>
      <c r="C61" s="33">
        <f t="shared" ca="1" si="0"/>
        <v>88</v>
      </c>
      <c r="D61" s="33">
        <v>132</v>
      </c>
    </row>
    <row r="62" spans="2:4" ht="13" x14ac:dyDescent="0.15">
      <c r="B62" s="33" t="s">
        <v>95</v>
      </c>
      <c r="C62" s="33">
        <f t="shared" ca="1" si="0"/>
        <v>327</v>
      </c>
      <c r="D62" s="33">
        <v>363</v>
      </c>
    </row>
    <row r="63" spans="2:4" ht="13" x14ac:dyDescent="0.15">
      <c r="B63" s="33" t="s">
        <v>96</v>
      </c>
      <c r="C63" s="33">
        <f t="shared" ca="1" si="0"/>
        <v>426</v>
      </c>
      <c r="D63" s="33">
        <v>418</v>
      </c>
    </row>
    <row r="64" spans="2:4" ht="13" x14ac:dyDescent="0.15">
      <c r="B64" s="33" t="s">
        <v>97</v>
      </c>
      <c r="C64" s="33">
        <f t="shared" ca="1" si="0"/>
        <v>421</v>
      </c>
      <c r="D64" s="33">
        <v>179</v>
      </c>
    </row>
    <row r="65" spans="2:4" ht="13" x14ac:dyDescent="0.15">
      <c r="B65" s="33" t="s">
        <v>98</v>
      </c>
      <c r="C65" s="33">
        <f t="shared" ca="1" si="0"/>
        <v>58</v>
      </c>
      <c r="D65" s="33">
        <v>180</v>
      </c>
    </row>
    <row r="66" spans="2:4" ht="13" x14ac:dyDescent="0.15">
      <c r="B66" s="33" t="s">
        <v>99</v>
      </c>
      <c r="C66" s="33">
        <f t="shared" ca="1" si="0"/>
        <v>38</v>
      </c>
      <c r="D66" s="33">
        <v>196</v>
      </c>
    </row>
    <row r="67" spans="2:4" ht="13" x14ac:dyDescent="0.15">
      <c r="B67" s="33" t="s">
        <v>100</v>
      </c>
      <c r="C67" s="33">
        <f t="shared" ca="1" si="0"/>
        <v>418</v>
      </c>
      <c r="D67" s="33">
        <v>453</v>
      </c>
    </row>
    <row r="68" spans="2:4" ht="13" x14ac:dyDescent="0.15">
      <c r="B68" s="33" t="s">
        <v>101</v>
      </c>
      <c r="C68" s="33">
        <f t="shared" ca="1" si="0"/>
        <v>81</v>
      </c>
      <c r="D68" s="33">
        <v>435</v>
      </c>
    </row>
    <row r="69" spans="2:4" ht="13" x14ac:dyDescent="0.15">
      <c r="B69" s="33" t="s">
        <v>102</v>
      </c>
      <c r="C69" s="33">
        <f t="shared" ca="1" si="0"/>
        <v>328</v>
      </c>
      <c r="D69" s="33">
        <v>29</v>
      </c>
    </row>
    <row r="70" spans="2:4" ht="13" x14ac:dyDescent="0.15">
      <c r="B70" s="33" t="s">
        <v>103</v>
      </c>
      <c r="C70" s="33">
        <f t="shared" ca="1" si="0"/>
        <v>13</v>
      </c>
      <c r="D70" s="33">
        <v>270</v>
      </c>
    </row>
    <row r="71" spans="2:4" ht="13" x14ac:dyDescent="0.15">
      <c r="B71" s="33" t="s">
        <v>104</v>
      </c>
      <c r="C71" s="33">
        <f t="shared" ca="1" si="0"/>
        <v>263</v>
      </c>
      <c r="D71" s="33">
        <v>39</v>
      </c>
    </row>
    <row r="72" spans="2:4" ht="13" x14ac:dyDescent="0.15">
      <c r="B72" s="33" t="s">
        <v>105</v>
      </c>
      <c r="C72" s="33">
        <f t="shared" ca="1" si="0"/>
        <v>44</v>
      </c>
      <c r="D72" s="33">
        <v>83</v>
      </c>
    </row>
    <row r="73" spans="2:4" ht="13" x14ac:dyDescent="0.15">
      <c r="B73" s="33" t="s">
        <v>106</v>
      </c>
      <c r="C73" s="33">
        <f t="shared" ca="1" si="0"/>
        <v>274</v>
      </c>
      <c r="D73" s="33">
        <v>206</v>
      </c>
    </row>
    <row r="74" spans="2:4" ht="13" x14ac:dyDescent="0.15">
      <c r="B74" s="33" t="s">
        <v>107</v>
      </c>
      <c r="C74" s="33">
        <f t="shared" ca="1" si="0"/>
        <v>104</v>
      </c>
      <c r="D74" s="33">
        <v>14</v>
      </c>
    </row>
    <row r="75" spans="2:4" ht="13" x14ac:dyDescent="0.15">
      <c r="B75" s="33" t="s">
        <v>108</v>
      </c>
      <c r="C75" s="33">
        <f t="shared" ca="1" si="0"/>
        <v>65</v>
      </c>
      <c r="D75" s="33">
        <v>265</v>
      </c>
    </row>
    <row r="76" spans="2:4" ht="13" x14ac:dyDescent="0.15">
      <c r="B76" s="33" t="s">
        <v>109</v>
      </c>
      <c r="C76" s="33">
        <f t="shared" ca="1" si="0"/>
        <v>324</v>
      </c>
      <c r="D76" s="33">
        <v>351</v>
      </c>
    </row>
    <row r="77" spans="2:4" ht="13" x14ac:dyDescent="0.15">
      <c r="B77" s="33" t="s">
        <v>110</v>
      </c>
      <c r="C77" s="33">
        <f t="shared" ca="1" si="0"/>
        <v>302</v>
      </c>
      <c r="D77" s="33">
        <v>166</v>
      </c>
    </row>
    <row r="78" spans="2:4" ht="13" x14ac:dyDescent="0.15">
      <c r="B78" s="33" t="s">
        <v>111</v>
      </c>
      <c r="C78" s="33">
        <f t="shared" ca="1" si="0"/>
        <v>368</v>
      </c>
      <c r="D78" s="33">
        <v>77</v>
      </c>
    </row>
    <row r="79" spans="2:4" ht="13" x14ac:dyDescent="0.15">
      <c r="B79" s="33" t="s">
        <v>112</v>
      </c>
      <c r="C79" s="33">
        <f t="shared" ca="1" si="0"/>
        <v>304</v>
      </c>
      <c r="D79" s="33">
        <v>275</v>
      </c>
    </row>
    <row r="80" spans="2:4" ht="13" x14ac:dyDescent="0.15">
      <c r="B80" s="33" t="s">
        <v>113</v>
      </c>
      <c r="C80" s="33">
        <f t="shared" ca="1" si="0"/>
        <v>112</v>
      </c>
      <c r="D80" s="33">
        <v>372</v>
      </c>
    </row>
    <row r="81" spans="2:4" ht="13" x14ac:dyDescent="0.15">
      <c r="B81" s="33" t="s">
        <v>114</v>
      </c>
      <c r="C81" s="33">
        <f t="shared" ca="1" si="0"/>
        <v>146</v>
      </c>
      <c r="D81" s="33">
        <v>63</v>
      </c>
    </row>
    <row r="82" spans="2:4" ht="13" x14ac:dyDescent="0.15">
      <c r="B82" s="33" t="s">
        <v>115</v>
      </c>
      <c r="C82" s="33">
        <f t="shared" ca="1" si="0"/>
        <v>344</v>
      </c>
      <c r="D82" s="33">
        <v>390</v>
      </c>
    </row>
    <row r="83" spans="2:4" ht="13" x14ac:dyDescent="0.15">
      <c r="B83" s="33" t="s">
        <v>116</v>
      </c>
      <c r="C83" s="33">
        <f t="shared" ca="1" si="0"/>
        <v>318</v>
      </c>
      <c r="D83" s="33">
        <v>209</v>
      </c>
    </row>
    <row r="84" spans="2:4" ht="13" x14ac:dyDescent="0.15">
      <c r="B84" s="33" t="s">
        <v>117</v>
      </c>
      <c r="C84" s="33">
        <f t="shared" ca="1" si="0"/>
        <v>164</v>
      </c>
      <c r="D84" s="33">
        <v>179</v>
      </c>
    </row>
    <row r="85" spans="2:4" ht="13" x14ac:dyDescent="0.15">
      <c r="B85" s="33" t="s">
        <v>118</v>
      </c>
      <c r="C85" s="33">
        <f t="shared" ca="1" si="0"/>
        <v>124</v>
      </c>
      <c r="D85" s="33">
        <v>236</v>
      </c>
    </row>
    <row r="86" spans="2:4" ht="13" x14ac:dyDescent="0.15">
      <c r="B86" s="33" t="s">
        <v>119</v>
      </c>
      <c r="C86" s="33">
        <f t="shared" ca="1" si="0"/>
        <v>322</v>
      </c>
      <c r="D86" s="33">
        <v>286</v>
      </c>
    </row>
    <row r="87" spans="2:4" ht="13" x14ac:dyDescent="0.15">
      <c r="B87" s="33" t="s">
        <v>120</v>
      </c>
      <c r="C87" s="33">
        <f t="shared" ca="1" si="0"/>
        <v>391</v>
      </c>
      <c r="D87" s="33">
        <v>110</v>
      </c>
    </row>
    <row r="88" spans="2:4" ht="13" x14ac:dyDescent="0.15">
      <c r="B88" s="33" t="s">
        <v>121</v>
      </c>
      <c r="C88" s="33">
        <f t="shared" ca="1" si="0"/>
        <v>379</v>
      </c>
      <c r="D88" s="33">
        <v>81</v>
      </c>
    </row>
    <row r="89" spans="2:4" ht="13" x14ac:dyDescent="0.15">
      <c r="B89" s="33" t="s">
        <v>122</v>
      </c>
      <c r="C89" s="33">
        <f t="shared" ca="1" si="0"/>
        <v>219</v>
      </c>
      <c r="D89" s="33">
        <v>286</v>
      </c>
    </row>
    <row r="90" spans="2:4" ht="13" x14ac:dyDescent="0.15">
      <c r="B90" s="33" t="s">
        <v>1</v>
      </c>
      <c r="C90" s="33">
        <f t="shared" ca="1" si="0"/>
        <v>266</v>
      </c>
      <c r="D90" s="33">
        <v>267</v>
      </c>
    </row>
    <row r="91" spans="2:4" ht="13" x14ac:dyDescent="0.15">
      <c r="B91" s="33" t="s">
        <v>123</v>
      </c>
      <c r="C91" s="33">
        <f t="shared" ca="1" si="0"/>
        <v>15</v>
      </c>
      <c r="D91" s="33">
        <v>158</v>
      </c>
    </row>
    <row r="92" spans="2:4" ht="13" x14ac:dyDescent="0.15">
      <c r="B92" s="33" t="s">
        <v>124</v>
      </c>
      <c r="C92" s="33">
        <f t="shared" ca="1" si="0"/>
        <v>438</v>
      </c>
      <c r="D92" s="33">
        <v>315</v>
      </c>
    </row>
    <row r="93" spans="2:4" ht="13" x14ac:dyDescent="0.15">
      <c r="B93" s="33" t="s">
        <v>125</v>
      </c>
      <c r="C93" s="33">
        <f t="shared" ca="1" si="0"/>
        <v>207</v>
      </c>
      <c r="D93" s="33">
        <v>261</v>
      </c>
    </row>
    <row r="94" spans="2:4" ht="13" x14ac:dyDescent="0.15">
      <c r="B94" s="33" t="s">
        <v>126</v>
      </c>
      <c r="C94" s="33">
        <f t="shared" ca="1" si="0"/>
        <v>351</v>
      </c>
      <c r="D94" s="33">
        <v>38</v>
      </c>
    </row>
    <row r="95" spans="2:4" ht="13" x14ac:dyDescent="0.15">
      <c r="B95" s="33" t="s">
        <v>127</v>
      </c>
      <c r="C95" s="33">
        <f t="shared" ca="1" si="0"/>
        <v>175</v>
      </c>
      <c r="D95" s="33">
        <v>140</v>
      </c>
    </row>
    <row r="96" spans="2:4" ht="13" x14ac:dyDescent="0.15">
      <c r="B96" s="33" t="s">
        <v>128</v>
      </c>
      <c r="C96" s="33">
        <f t="shared" ca="1" si="0"/>
        <v>39</v>
      </c>
      <c r="D96" s="33">
        <v>343</v>
      </c>
    </row>
    <row r="97" spans="2:4" ht="13" x14ac:dyDescent="0.15">
      <c r="B97" s="33" t="s">
        <v>129</v>
      </c>
      <c r="C97" s="33">
        <f t="shared" ca="1" si="0"/>
        <v>156</v>
      </c>
      <c r="D97" s="33">
        <v>6</v>
      </c>
    </row>
    <row r="98" spans="2:4" ht="13" x14ac:dyDescent="0.15">
      <c r="B98" s="33" t="s">
        <v>130</v>
      </c>
      <c r="C98" s="33">
        <f t="shared" ca="1" si="0"/>
        <v>104</v>
      </c>
      <c r="D98" s="33">
        <v>393</v>
      </c>
    </row>
    <row r="99" spans="2:4" ht="13" x14ac:dyDescent="0.15">
      <c r="B99" s="33" t="s">
        <v>131</v>
      </c>
      <c r="C99" s="33">
        <f t="shared" ca="1" si="0"/>
        <v>179</v>
      </c>
      <c r="D99" s="33">
        <v>129</v>
      </c>
    </row>
    <row r="100" spans="2:4" ht="13" x14ac:dyDescent="0.15">
      <c r="B100" s="33" t="s">
        <v>132</v>
      </c>
      <c r="C100" s="33">
        <f t="shared" ca="1" si="0"/>
        <v>165</v>
      </c>
      <c r="D100" s="33">
        <v>431</v>
      </c>
    </row>
    <row r="101" spans="2:4" ht="13" x14ac:dyDescent="0.15">
      <c r="B101" s="33" t="s">
        <v>133</v>
      </c>
      <c r="C101" s="33">
        <f t="shared" ca="1" si="0"/>
        <v>443</v>
      </c>
      <c r="D101" s="33">
        <v>371</v>
      </c>
    </row>
    <row r="102" spans="2:4" ht="13" x14ac:dyDescent="0.15">
      <c r="B102" s="33" t="s">
        <v>134</v>
      </c>
      <c r="C102" s="33">
        <f t="shared" ca="1" si="0"/>
        <v>73</v>
      </c>
      <c r="D102" s="33">
        <v>387</v>
      </c>
    </row>
    <row r="103" spans="2:4" ht="13" x14ac:dyDescent="0.15">
      <c r="B103" s="33" t="s">
        <v>135</v>
      </c>
      <c r="C103" s="33">
        <f t="shared" ca="1" si="0"/>
        <v>30</v>
      </c>
      <c r="D103" s="33">
        <v>103</v>
      </c>
    </row>
    <row r="104" spans="2:4" ht="13" x14ac:dyDescent="0.15">
      <c r="B104" s="33" t="s">
        <v>136</v>
      </c>
      <c r="C104" s="33">
        <f t="shared" ca="1" si="0"/>
        <v>111</v>
      </c>
      <c r="D104" s="33">
        <v>461</v>
      </c>
    </row>
    <row r="105" spans="2:4" ht="13" x14ac:dyDescent="0.15">
      <c r="B105" s="33" t="s">
        <v>137</v>
      </c>
      <c r="C105" s="33">
        <f t="shared" ca="1" si="0"/>
        <v>200</v>
      </c>
      <c r="D105" s="33">
        <v>102</v>
      </c>
    </row>
    <row r="106" spans="2:4" ht="13" x14ac:dyDescent="0.15">
      <c r="B106" s="33" t="s">
        <v>138</v>
      </c>
      <c r="C106" s="33">
        <f t="shared" ca="1" si="0"/>
        <v>147</v>
      </c>
      <c r="D106" s="33">
        <v>461</v>
      </c>
    </row>
    <row r="107" spans="2:4" ht="13" x14ac:dyDescent="0.15">
      <c r="B107" s="33" t="s">
        <v>4</v>
      </c>
      <c r="C107" s="33">
        <f t="shared" ca="1" si="0"/>
        <v>54</v>
      </c>
      <c r="D107" s="33">
        <v>216</v>
      </c>
    </row>
    <row r="108" spans="2:4" ht="13" x14ac:dyDescent="0.15">
      <c r="B108" s="33" t="s">
        <v>139</v>
      </c>
      <c r="C108" s="33">
        <f t="shared" ca="1" si="0"/>
        <v>215</v>
      </c>
      <c r="D108" s="33">
        <v>25</v>
      </c>
    </row>
    <row r="109" spans="2:4" ht="13" x14ac:dyDescent="0.15">
      <c r="B109" s="33" t="s">
        <v>140</v>
      </c>
      <c r="C109" s="33">
        <f t="shared" ca="1" si="0"/>
        <v>38</v>
      </c>
      <c r="D109" s="33">
        <v>188</v>
      </c>
    </row>
    <row r="110" spans="2:4" ht="13" x14ac:dyDescent="0.15">
      <c r="B110" s="33" t="s">
        <v>141</v>
      </c>
      <c r="C110" s="33">
        <f t="shared" ca="1" si="0"/>
        <v>254</v>
      </c>
      <c r="D110" s="33">
        <v>68</v>
      </c>
    </row>
    <row r="111" spans="2:4" ht="13" x14ac:dyDescent="0.15">
      <c r="B111" s="33" t="s">
        <v>142</v>
      </c>
      <c r="C111" s="33">
        <f t="shared" ca="1" si="0"/>
        <v>435</v>
      </c>
      <c r="D111" s="33">
        <v>56</v>
      </c>
    </row>
    <row r="112" spans="2:4" ht="13" x14ac:dyDescent="0.15">
      <c r="B112" s="33" t="s">
        <v>143</v>
      </c>
      <c r="C112" s="33">
        <f t="shared" ca="1" si="0"/>
        <v>414</v>
      </c>
      <c r="D112" s="33">
        <v>56</v>
      </c>
    </row>
    <row r="113" spans="2:4" ht="13" x14ac:dyDescent="0.15">
      <c r="B113" s="33" t="s">
        <v>144</v>
      </c>
      <c r="C113" s="33">
        <f t="shared" ca="1" si="0"/>
        <v>341</v>
      </c>
      <c r="D113" s="33">
        <v>12</v>
      </c>
    </row>
    <row r="114" spans="2:4" ht="13" x14ac:dyDescent="0.15">
      <c r="B114" s="33" t="s">
        <v>145</v>
      </c>
      <c r="C114" s="33">
        <f t="shared" ca="1" si="0"/>
        <v>374</v>
      </c>
      <c r="D114" s="33">
        <v>89</v>
      </c>
    </row>
    <row r="115" spans="2:4" ht="13" x14ac:dyDescent="0.15">
      <c r="B115" s="33" t="s">
        <v>146</v>
      </c>
      <c r="C115" s="33">
        <f t="shared" ca="1" si="0"/>
        <v>39</v>
      </c>
      <c r="D115" s="33">
        <v>48</v>
      </c>
    </row>
    <row r="116" spans="2:4" ht="13" x14ac:dyDescent="0.15">
      <c r="B116" s="33" t="s">
        <v>147</v>
      </c>
      <c r="C116" s="33">
        <f t="shared" ca="1" si="0"/>
        <v>211</v>
      </c>
      <c r="D116" s="33">
        <v>423</v>
      </c>
    </row>
    <row r="117" spans="2:4" ht="13" x14ac:dyDescent="0.15">
      <c r="B117" s="33" t="s">
        <v>148</v>
      </c>
      <c r="C117" s="33">
        <f t="shared" ca="1" si="0"/>
        <v>434</v>
      </c>
      <c r="D117" s="33">
        <v>240</v>
      </c>
    </row>
    <row r="118" spans="2:4" ht="13" x14ac:dyDescent="0.15">
      <c r="B118" s="33" t="s">
        <v>149</v>
      </c>
      <c r="C118" s="33">
        <f t="shared" ca="1" si="0"/>
        <v>41</v>
      </c>
      <c r="D118" s="33">
        <v>214</v>
      </c>
    </row>
    <row r="119" spans="2:4" ht="13" x14ac:dyDescent="0.15">
      <c r="B119" s="33" t="s">
        <v>150</v>
      </c>
      <c r="C119" s="33">
        <f t="shared" ca="1" si="0"/>
        <v>65</v>
      </c>
      <c r="D119" s="33">
        <v>439</v>
      </c>
    </row>
    <row r="120" spans="2:4" ht="13" x14ac:dyDescent="0.15">
      <c r="B120" s="33" t="s">
        <v>151</v>
      </c>
      <c r="C120" s="33">
        <f t="shared" ca="1" si="0"/>
        <v>327</v>
      </c>
      <c r="D120" s="33">
        <v>305</v>
      </c>
    </row>
    <row r="121" spans="2:4" ht="13" x14ac:dyDescent="0.15">
      <c r="B121" s="33" t="s">
        <v>152</v>
      </c>
      <c r="C121" s="33">
        <f t="shared" ca="1" si="0"/>
        <v>294</v>
      </c>
      <c r="D121" s="33">
        <v>372</v>
      </c>
    </row>
    <row r="122" spans="2:4" ht="13" x14ac:dyDescent="0.15">
      <c r="B122" s="33" t="s">
        <v>153</v>
      </c>
      <c r="C122" s="33">
        <f t="shared" ca="1" si="0"/>
        <v>464</v>
      </c>
      <c r="D122" s="33">
        <v>97</v>
      </c>
    </row>
    <row r="123" spans="2:4" ht="13" x14ac:dyDescent="0.15">
      <c r="B123" s="33" t="s">
        <v>154</v>
      </c>
      <c r="C123" s="33">
        <f t="shared" ca="1" si="0"/>
        <v>235</v>
      </c>
      <c r="D123" s="33">
        <v>423</v>
      </c>
    </row>
    <row r="124" spans="2:4" ht="13" x14ac:dyDescent="0.15">
      <c r="B124" s="33" t="s">
        <v>155</v>
      </c>
      <c r="C124" s="33">
        <f t="shared" ca="1" si="0"/>
        <v>456</v>
      </c>
      <c r="D124" s="33">
        <v>115</v>
      </c>
    </row>
    <row r="125" spans="2:4" ht="13" x14ac:dyDescent="0.15">
      <c r="B125" s="33" t="s">
        <v>156</v>
      </c>
      <c r="C125" s="33">
        <f t="shared" ca="1" si="0"/>
        <v>360</v>
      </c>
      <c r="D125" s="33">
        <v>384</v>
      </c>
    </row>
    <row r="126" spans="2:4" ht="13" x14ac:dyDescent="0.15">
      <c r="B126" s="33" t="s">
        <v>157</v>
      </c>
      <c r="C126" s="33">
        <f t="shared" ca="1" si="0"/>
        <v>392</v>
      </c>
      <c r="D126" s="33">
        <v>158</v>
      </c>
    </row>
    <row r="127" spans="2:4" ht="13" x14ac:dyDescent="0.15">
      <c r="B127" s="33" t="s">
        <v>158</v>
      </c>
      <c r="C127" s="33">
        <f t="shared" ca="1" si="0"/>
        <v>82</v>
      </c>
      <c r="D127" s="33">
        <v>160</v>
      </c>
    </row>
    <row r="128" spans="2:4" ht="13" x14ac:dyDescent="0.15">
      <c r="B128" s="33" t="s">
        <v>159</v>
      </c>
      <c r="C128" s="33">
        <f t="shared" ca="1" si="0"/>
        <v>97</v>
      </c>
      <c r="D128" s="33">
        <v>242</v>
      </c>
    </row>
    <row r="129" spans="2:4" ht="13" x14ac:dyDescent="0.15">
      <c r="B129" s="33" t="s">
        <v>160</v>
      </c>
      <c r="C129" s="33">
        <f t="shared" ca="1" si="0"/>
        <v>102</v>
      </c>
      <c r="D129" s="33">
        <v>125</v>
      </c>
    </row>
    <row r="130" spans="2:4" ht="13" x14ac:dyDescent="0.15">
      <c r="B130" s="33" t="s">
        <v>161</v>
      </c>
      <c r="C130" s="33">
        <f t="shared" ca="1" si="0"/>
        <v>447</v>
      </c>
      <c r="D130" s="33">
        <v>202</v>
      </c>
    </row>
    <row r="131" spans="2:4" ht="13" x14ac:dyDescent="0.15">
      <c r="B131" s="33" t="s">
        <v>162</v>
      </c>
      <c r="C131" s="33">
        <f t="shared" ca="1" si="0"/>
        <v>330</v>
      </c>
      <c r="D131" s="33">
        <v>375</v>
      </c>
    </row>
    <row r="132" spans="2:4" ht="13" x14ac:dyDescent="0.15">
      <c r="B132" s="33" t="s">
        <v>163</v>
      </c>
      <c r="C132" s="33">
        <f t="shared" ca="1" si="0"/>
        <v>410</v>
      </c>
      <c r="D132" s="33">
        <v>12</v>
      </c>
    </row>
    <row r="133" spans="2:4" ht="13" x14ac:dyDescent="0.15">
      <c r="B133" s="33" t="s">
        <v>164</v>
      </c>
      <c r="C133" s="33">
        <f t="shared" ca="1" si="0"/>
        <v>253</v>
      </c>
      <c r="D133" s="33">
        <v>235</v>
      </c>
    </row>
    <row r="134" spans="2:4" ht="13" x14ac:dyDescent="0.15">
      <c r="B134" s="33" t="s">
        <v>165</v>
      </c>
      <c r="C134" s="33">
        <f t="shared" ca="1" si="0"/>
        <v>36</v>
      </c>
      <c r="D134" s="33">
        <v>94</v>
      </c>
    </row>
    <row r="135" spans="2:4" ht="13" x14ac:dyDescent="0.15">
      <c r="B135" s="33" t="s">
        <v>166</v>
      </c>
      <c r="C135" s="33">
        <f t="shared" ca="1" si="0"/>
        <v>397</v>
      </c>
      <c r="D135" s="33">
        <v>460</v>
      </c>
    </row>
    <row r="136" spans="2:4" ht="13" x14ac:dyDescent="0.15">
      <c r="B136" s="33" t="s">
        <v>167</v>
      </c>
      <c r="C136" s="33">
        <f t="shared" ca="1" si="0"/>
        <v>252</v>
      </c>
      <c r="D136" s="33">
        <v>256</v>
      </c>
    </row>
    <row r="137" spans="2:4" ht="13" x14ac:dyDescent="0.15">
      <c r="B137" s="33" t="s">
        <v>168</v>
      </c>
      <c r="C137" s="33">
        <f t="shared" ca="1" si="0"/>
        <v>394</v>
      </c>
      <c r="D137" s="33">
        <v>23</v>
      </c>
    </row>
    <row r="138" spans="2:4" ht="13" x14ac:dyDescent="0.15">
      <c r="B138" s="33" t="s">
        <v>169</v>
      </c>
      <c r="C138" s="33">
        <f t="shared" ca="1" si="0"/>
        <v>316</v>
      </c>
      <c r="D138" s="33">
        <v>221</v>
      </c>
    </row>
    <row r="139" spans="2:4" ht="13" x14ac:dyDescent="0.15">
      <c r="B139" s="33" t="s">
        <v>170</v>
      </c>
      <c r="C139" s="33">
        <f t="shared" ca="1" si="0"/>
        <v>206</v>
      </c>
      <c r="D139" s="33">
        <v>128</v>
      </c>
    </row>
    <row r="140" spans="2:4" ht="13" x14ac:dyDescent="0.15">
      <c r="B140" s="33" t="s">
        <v>171</v>
      </c>
      <c r="C140" s="33">
        <f t="shared" ca="1" si="0"/>
        <v>384</v>
      </c>
      <c r="D140" s="33">
        <v>340</v>
      </c>
    </row>
    <row r="141" spans="2:4" ht="13" x14ac:dyDescent="0.15">
      <c r="B141" s="33" t="s">
        <v>172</v>
      </c>
      <c r="C141" s="33">
        <f t="shared" ca="1" si="0"/>
        <v>400</v>
      </c>
      <c r="D141" s="33">
        <v>139</v>
      </c>
    </row>
    <row r="142" spans="2:4" ht="13" x14ac:dyDescent="0.15">
      <c r="B142" s="33" t="s">
        <v>173</v>
      </c>
      <c r="C142" s="33">
        <f t="shared" ca="1" si="0"/>
        <v>282</v>
      </c>
      <c r="D142" s="33">
        <v>23</v>
      </c>
    </row>
    <row r="143" spans="2:4" ht="13" x14ac:dyDescent="0.15">
      <c r="B143" s="33" t="s">
        <v>174</v>
      </c>
      <c r="C143" s="33">
        <f t="shared" ca="1" si="0"/>
        <v>458</v>
      </c>
      <c r="D143" s="33">
        <v>247</v>
      </c>
    </row>
    <row r="144" spans="2:4" ht="13" x14ac:dyDescent="0.15">
      <c r="B144" s="33" t="s">
        <v>175</v>
      </c>
      <c r="C144" s="33">
        <f t="shared" ca="1" si="0"/>
        <v>299</v>
      </c>
      <c r="D144" s="33">
        <v>17</v>
      </c>
    </row>
    <row r="145" spans="2:4" ht="13" x14ac:dyDescent="0.15">
      <c r="B145" s="33" t="s">
        <v>176</v>
      </c>
      <c r="C145" s="33">
        <f t="shared" ca="1" si="0"/>
        <v>450</v>
      </c>
      <c r="D145" s="33">
        <v>14</v>
      </c>
    </row>
    <row r="146" spans="2:4" ht="13" x14ac:dyDescent="0.15">
      <c r="B146" s="33" t="s">
        <v>177</v>
      </c>
      <c r="C146" s="33">
        <f t="shared" ca="1" si="0"/>
        <v>125</v>
      </c>
      <c r="D146" s="33">
        <v>181</v>
      </c>
    </row>
    <row r="147" spans="2:4" ht="13" x14ac:dyDescent="0.15">
      <c r="B147" s="33" t="s">
        <v>178</v>
      </c>
      <c r="C147" s="33">
        <f t="shared" ca="1" si="0"/>
        <v>285</v>
      </c>
      <c r="D147" s="33">
        <v>130</v>
      </c>
    </row>
    <row r="148" spans="2:4" ht="13" x14ac:dyDescent="0.15">
      <c r="B148" s="33" t="s">
        <v>179</v>
      </c>
      <c r="C148" s="33">
        <f t="shared" ca="1" si="0"/>
        <v>281</v>
      </c>
      <c r="D148" s="33">
        <v>325</v>
      </c>
    </row>
    <row r="149" spans="2:4" ht="13" x14ac:dyDescent="0.15">
      <c r="B149" s="33" t="s">
        <v>180</v>
      </c>
      <c r="C149" s="33">
        <f t="shared" ca="1" si="0"/>
        <v>31</v>
      </c>
      <c r="D149" s="33">
        <v>366</v>
      </c>
    </row>
    <row r="150" spans="2:4" ht="13" x14ac:dyDescent="0.15">
      <c r="B150" s="33" t="s">
        <v>181</v>
      </c>
      <c r="C150" s="33">
        <f t="shared" ca="1" si="0"/>
        <v>447</v>
      </c>
      <c r="D150" s="33">
        <v>151</v>
      </c>
    </row>
    <row r="151" spans="2:4" ht="13" x14ac:dyDescent="0.15">
      <c r="B151" s="33" t="s">
        <v>182</v>
      </c>
      <c r="C151" s="33">
        <f t="shared" ca="1" si="0"/>
        <v>172</v>
      </c>
      <c r="D151" s="33">
        <v>322</v>
      </c>
    </row>
    <row r="152" spans="2:4" ht="13" x14ac:dyDescent="0.15">
      <c r="B152" s="33" t="s">
        <v>183</v>
      </c>
      <c r="C152" s="33">
        <f t="shared" ca="1" si="0"/>
        <v>260</v>
      </c>
      <c r="D152" s="33">
        <v>366</v>
      </c>
    </row>
    <row r="153" spans="2:4" ht="13" x14ac:dyDescent="0.15">
      <c r="B153" s="33" t="s">
        <v>184</v>
      </c>
      <c r="C153" s="33">
        <f t="shared" ca="1" si="0"/>
        <v>82</v>
      </c>
      <c r="D153" s="33">
        <v>292</v>
      </c>
    </row>
    <row r="154" spans="2:4" ht="13" x14ac:dyDescent="0.15">
      <c r="B154" s="33" t="s">
        <v>185</v>
      </c>
      <c r="C154" s="33">
        <f t="shared" ca="1" si="0"/>
        <v>167</v>
      </c>
      <c r="D154" s="33">
        <v>68</v>
      </c>
    </row>
    <row r="155" spans="2:4" ht="13" x14ac:dyDescent="0.15">
      <c r="B155" s="33" t="s">
        <v>186</v>
      </c>
      <c r="C155" s="33">
        <f t="shared" ca="1" si="0"/>
        <v>66</v>
      </c>
      <c r="D155" s="33">
        <v>221</v>
      </c>
    </row>
    <row r="156" spans="2:4" ht="13" x14ac:dyDescent="0.15">
      <c r="B156" s="33" t="s">
        <v>187</v>
      </c>
      <c r="C156" s="33">
        <f t="shared" ca="1" si="0"/>
        <v>324</v>
      </c>
      <c r="D156" s="33">
        <v>113</v>
      </c>
    </row>
    <row r="157" spans="2:4" ht="13" x14ac:dyDescent="0.15">
      <c r="B157" s="33" t="s">
        <v>188</v>
      </c>
      <c r="C157" s="33">
        <f t="shared" ca="1" si="0"/>
        <v>245</v>
      </c>
      <c r="D157" s="33">
        <v>124</v>
      </c>
    </row>
    <row r="158" spans="2:4" ht="13" x14ac:dyDescent="0.15">
      <c r="B158" s="33" t="s">
        <v>189</v>
      </c>
      <c r="C158" s="33">
        <f t="shared" ca="1" si="0"/>
        <v>439</v>
      </c>
      <c r="D158" s="33">
        <v>427</v>
      </c>
    </row>
    <row r="159" spans="2:4" ht="13" x14ac:dyDescent="0.15">
      <c r="B159" s="33" t="s">
        <v>190</v>
      </c>
      <c r="C159" s="33">
        <f t="shared" ca="1" si="0"/>
        <v>22</v>
      </c>
      <c r="D159" s="33">
        <v>57</v>
      </c>
    </row>
    <row r="160" spans="2:4" ht="13" x14ac:dyDescent="0.15">
      <c r="B160" s="33" t="s">
        <v>191</v>
      </c>
      <c r="C160" s="33">
        <f t="shared" ca="1" si="0"/>
        <v>288</v>
      </c>
      <c r="D160" s="33">
        <v>430</v>
      </c>
    </row>
    <row r="161" spans="2:4" ht="13" x14ac:dyDescent="0.15">
      <c r="B161" s="33" t="s">
        <v>192</v>
      </c>
      <c r="C161" s="33">
        <f t="shared" ca="1" si="0"/>
        <v>277</v>
      </c>
      <c r="D161" s="33">
        <v>350</v>
      </c>
    </row>
    <row r="162" spans="2:4" ht="13" x14ac:dyDescent="0.15">
      <c r="B162" s="33" t="s">
        <v>193</v>
      </c>
      <c r="C162" s="33">
        <f t="shared" ca="1" si="0"/>
        <v>211</v>
      </c>
      <c r="D162" s="33">
        <v>32</v>
      </c>
    </row>
    <row r="163" spans="2:4" ht="13" x14ac:dyDescent="0.15">
      <c r="B163" s="33" t="s">
        <v>194</v>
      </c>
      <c r="C163" s="33">
        <f t="shared" ca="1" si="0"/>
        <v>86</v>
      </c>
      <c r="D163" s="33">
        <v>252</v>
      </c>
    </row>
    <row r="164" spans="2:4" ht="13" x14ac:dyDescent="0.15">
      <c r="B164" s="33" t="s">
        <v>195</v>
      </c>
      <c r="C164" s="33">
        <f t="shared" ca="1" si="0"/>
        <v>303</v>
      </c>
      <c r="D164" s="33">
        <v>232</v>
      </c>
    </row>
    <row r="165" spans="2:4" ht="13" x14ac:dyDescent="0.15">
      <c r="B165" s="33" t="s">
        <v>196</v>
      </c>
      <c r="C165" s="33">
        <f t="shared" ca="1" si="0"/>
        <v>421</v>
      </c>
      <c r="D165" s="33">
        <v>453</v>
      </c>
    </row>
    <row r="166" spans="2:4" ht="13" x14ac:dyDescent="0.15">
      <c r="B166" s="33" t="s">
        <v>197</v>
      </c>
      <c r="C166" s="33">
        <f t="shared" ca="1" si="0"/>
        <v>102</v>
      </c>
      <c r="D166" s="33">
        <v>362</v>
      </c>
    </row>
    <row r="167" spans="2:4" ht="13" x14ac:dyDescent="0.15">
      <c r="B167" s="33" t="s">
        <v>198</v>
      </c>
      <c r="C167" s="33">
        <f t="shared" ca="1" si="0"/>
        <v>32</v>
      </c>
      <c r="D167" s="33">
        <v>430</v>
      </c>
    </row>
    <row r="168" spans="2:4" ht="13" x14ac:dyDescent="0.15">
      <c r="B168" s="33" t="s">
        <v>199</v>
      </c>
      <c r="C168" s="33">
        <f t="shared" ca="1" si="0"/>
        <v>390</v>
      </c>
      <c r="D168" s="33">
        <v>192</v>
      </c>
    </row>
    <row r="169" spans="2:4" ht="13" x14ac:dyDescent="0.15">
      <c r="B169" s="33" t="s">
        <v>200</v>
      </c>
      <c r="C169" s="33">
        <f t="shared" ca="1" si="0"/>
        <v>112</v>
      </c>
      <c r="D169" s="33">
        <v>384</v>
      </c>
    </row>
    <row r="170" spans="2:4" ht="13" x14ac:dyDescent="0.15">
      <c r="B170" s="33" t="s">
        <v>201</v>
      </c>
      <c r="C170" s="33">
        <f t="shared" ca="1" si="0"/>
        <v>24</v>
      </c>
      <c r="D170" s="33">
        <v>129</v>
      </c>
    </row>
    <row r="171" spans="2:4" ht="13" x14ac:dyDescent="0.15">
      <c r="B171" s="33" t="s">
        <v>202</v>
      </c>
      <c r="C171" s="33">
        <f t="shared" ca="1" si="0"/>
        <v>92</v>
      </c>
      <c r="D171" s="33">
        <v>296</v>
      </c>
    </row>
    <row r="172" spans="2:4" ht="13" x14ac:dyDescent="0.15">
      <c r="B172" s="33" t="s">
        <v>203</v>
      </c>
      <c r="C172" s="33">
        <f t="shared" ca="1" si="0"/>
        <v>305</v>
      </c>
      <c r="D172" s="33">
        <v>187</v>
      </c>
    </row>
    <row r="173" spans="2:4" ht="13" x14ac:dyDescent="0.15">
      <c r="B173" s="33" t="s">
        <v>204</v>
      </c>
      <c r="C173" s="33">
        <f t="shared" ca="1" si="0"/>
        <v>307</v>
      </c>
      <c r="D173" s="33">
        <v>71</v>
      </c>
    </row>
    <row r="174" spans="2:4" ht="13" x14ac:dyDescent="0.15">
      <c r="B174" s="33" t="s">
        <v>205</v>
      </c>
      <c r="C174" s="33">
        <f t="shared" ca="1" si="0"/>
        <v>283</v>
      </c>
      <c r="D174" s="33">
        <v>375</v>
      </c>
    </row>
    <row r="175" spans="2:4" ht="13" x14ac:dyDescent="0.15">
      <c r="B175" s="33" t="s">
        <v>206</v>
      </c>
      <c r="C175" s="33">
        <f t="shared" ca="1" si="0"/>
        <v>373</v>
      </c>
      <c r="D175" s="33">
        <v>30</v>
      </c>
    </row>
    <row r="176" spans="2:4" ht="13" x14ac:dyDescent="0.15">
      <c r="B176" s="33" t="s">
        <v>207</v>
      </c>
      <c r="C176" s="33">
        <f t="shared" ca="1" si="0"/>
        <v>294</v>
      </c>
      <c r="D176" s="33">
        <v>7</v>
      </c>
    </row>
    <row r="177" spans="2:4" ht="13" x14ac:dyDescent="0.15">
      <c r="B177" s="33" t="s">
        <v>208</v>
      </c>
      <c r="C177" s="33">
        <f t="shared" ca="1" si="0"/>
        <v>180</v>
      </c>
      <c r="D177" s="33">
        <v>103</v>
      </c>
    </row>
    <row r="178" spans="2:4" ht="13" x14ac:dyDescent="0.15">
      <c r="B178" s="33" t="s">
        <v>209</v>
      </c>
      <c r="C178" s="33">
        <f t="shared" ca="1" si="0"/>
        <v>3</v>
      </c>
      <c r="D178" s="33">
        <v>193</v>
      </c>
    </row>
    <row r="179" spans="2:4" ht="13" x14ac:dyDescent="0.15">
      <c r="B179" s="33" t="s">
        <v>210</v>
      </c>
      <c r="C179" s="33">
        <f t="shared" ca="1" si="0"/>
        <v>195</v>
      </c>
      <c r="D179" s="33">
        <v>114</v>
      </c>
    </row>
    <row r="180" spans="2:4" ht="13" x14ac:dyDescent="0.15">
      <c r="B180" s="33" t="s">
        <v>211</v>
      </c>
      <c r="C180" s="33">
        <f t="shared" ca="1" si="0"/>
        <v>221</v>
      </c>
      <c r="D180" s="33">
        <v>226</v>
      </c>
    </row>
    <row r="181" spans="2:4" ht="13" x14ac:dyDescent="0.15">
      <c r="B181" s="33" t="s">
        <v>212</v>
      </c>
      <c r="C181" s="33">
        <f t="shared" ca="1" si="0"/>
        <v>415</v>
      </c>
      <c r="D181" s="33">
        <v>297</v>
      </c>
    </row>
    <row r="182" spans="2:4" ht="13" x14ac:dyDescent="0.15">
      <c r="B182" s="33" t="s">
        <v>213</v>
      </c>
      <c r="C182" s="33">
        <f t="shared" ca="1" si="0"/>
        <v>347</v>
      </c>
      <c r="D182" s="33">
        <v>365</v>
      </c>
    </row>
    <row r="183" spans="2:4" ht="13" x14ac:dyDescent="0.15">
      <c r="B183" s="33" t="s">
        <v>214</v>
      </c>
      <c r="C183" s="33">
        <f t="shared" ca="1" si="0"/>
        <v>26</v>
      </c>
      <c r="D183" s="33">
        <v>53</v>
      </c>
    </row>
    <row r="184" spans="2:4" ht="13" x14ac:dyDescent="0.15">
      <c r="B184" s="33" t="s">
        <v>215</v>
      </c>
      <c r="C184" s="33">
        <f t="shared" ca="1" si="0"/>
        <v>354</v>
      </c>
      <c r="D184" s="33">
        <v>467</v>
      </c>
    </row>
    <row r="185" spans="2:4" ht="13" x14ac:dyDescent="0.15">
      <c r="B185" s="33" t="s">
        <v>216</v>
      </c>
      <c r="C185" s="33">
        <f t="shared" ca="1" si="0"/>
        <v>77</v>
      </c>
      <c r="D185" s="33">
        <v>473</v>
      </c>
    </row>
    <row r="186" spans="2:4" ht="13" x14ac:dyDescent="0.15">
      <c r="B186" s="33" t="s">
        <v>217</v>
      </c>
      <c r="C186" s="33">
        <f t="shared" ca="1" si="0"/>
        <v>21</v>
      </c>
      <c r="D186" s="33">
        <v>78</v>
      </c>
    </row>
    <row r="187" spans="2:4" ht="13" x14ac:dyDescent="0.15">
      <c r="B187" s="33" t="s">
        <v>218</v>
      </c>
      <c r="C187" s="33">
        <f t="shared" ca="1" si="0"/>
        <v>331</v>
      </c>
      <c r="D187" s="33">
        <v>25</v>
      </c>
    </row>
    <row r="188" spans="2:4" ht="13" x14ac:dyDescent="0.15">
      <c r="B188" s="33" t="s">
        <v>219</v>
      </c>
      <c r="C188" s="33">
        <f t="shared" ca="1" si="0"/>
        <v>112</v>
      </c>
      <c r="D188" s="33">
        <v>59</v>
      </c>
    </row>
    <row r="189" spans="2:4" ht="13" x14ac:dyDescent="0.15">
      <c r="B189" s="33" t="s">
        <v>220</v>
      </c>
      <c r="C189" s="33">
        <f t="shared" ca="1" si="0"/>
        <v>338</v>
      </c>
      <c r="D189" s="33">
        <v>313</v>
      </c>
    </row>
    <row r="190" spans="2:4" ht="13" x14ac:dyDescent="0.15">
      <c r="B190" s="33" t="s">
        <v>221</v>
      </c>
      <c r="C190" s="33">
        <f t="shared" ca="1" si="0"/>
        <v>167</v>
      </c>
      <c r="D190" s="33">
        <v>306</v>
      </c>
    </row>
    <row r="191" spans="2:4" ht="13" x14ac:dyDescent="0.15">
      <c r="B191" s="33" t="s">
        <v>222</v>
      </c>
      <c r="C191" s="33">
        <f t="shared" ca="1" si="0"/>
        <v>289</v>
      </c>
      <c r="D191" s="33">
        <v>436</v>
      </c>
    </row>
    <row r="192" spans="2:4" ht="13" x14ac:dyDescent="0.15">
      <c r="B192" s="33" t="s">
        <v>223</v>
      </c>
      <c r="C192" s="33">
        <f t="shared" ca="1" si="0"/>
        <v>164</v>
      </c>
      <c r="D192" s="33">
        <v>466</v>
      </c>
    </row>
    <row r="193" spans="2:4" ht="13" x14ac:dyDescent="0.15">
      <c r="B193" s="33" t="s">
        <v>224</v>
      </c>
      <c r="C193" s="33">
        <f t="shared" ca="1" si="0"/>
        <v>215</v>
      </c>
      <c r="D193" s="33">
        <v>363</v>
      </c>
    </row>
    <row r="194" spans="2:4" ht="13" x14ac:dyDescent="0.15">
      <c r="B194" s="33" t="s">
        <v>225</v>
      </c>
      <c r="C194" s="33">
        <f t="shared" ca="1" si="0"/>
        <v>141</v>
      </c>
      <c r="D194" s="33">
        <v>171</v>
      </c>
    </row>
    <row r="195" spans="2:4" ht="13" x14ac:dyDescent="0.15">
      <c r="B195" s="33" t="s">
        <v>226</v>
      </c>
      <c r="C195" s="33">
        <f t="shared" ca="1" si="0"/>
        <v>437</v>
      </c>
      <c r="D195" s="33">
        <v>260</v>
      </c>
    </row>
    <row r="196" spans="2:4" ht="13" x14ac:dyDescent="0.15">
      <c r="B196" s="33" t="s">
        <v>227</v>
      </c>
      <c r="C196" s="33">
        <f t="shared" ca="1" si="0"/>
        <v>220</v>
      </c>
      <c r="D196" s="33">
        <v>248</v>
      </c>
    </row>
    <row r="197" spans="2:4" ht="13" x14ac:dyDescent="0.15">
      <c r="B197" s="33" t="s">
        <v>228</v>
      </c>
      <c r="C197" s="33">
        <f t="shared" ca="1" si="0"/>
        <v>291</v>
      </c>
      <c r="D197" s="33">
        <v>69</v>
      </c>
    </row>
    <row r="198" spans="2:4" ht="13" x14ac:dyDescent="0.15">
      <c r="B198" s="33" t="s">
        <v>229</v>
      </c>
      <c r="C198" s="33">
        <f t="shared" ca="1" si="0"/>
        <v>440</v>
      </c>
      <c r="D198" s="33">
        <v>207</v>
      </c>
    </row>
    <row r="199" spans="2:4" ht="13" x14ac:dyDescent="0.15">
      <c r="B199" s="33" t="s">
        <v>230</v>
      </c>
      <c r="C199" s="33">
        <f t="shared" ca="1" si="0"/>
        <v>188</v>
      </c>
      <c r="D199" s="33">
        <v>75</v>
      </c>
    </row>
    <row r="200" spans="2:4" ht="13" x14ac:dyDescent="0.15">
      <c r="B200" s="33" t="s">
        <v>231</v>
      </c>
      <c r="C200" s="33">
        <f t="shared" ca="1" si="0"/>
        <v>127</v>
      </c>
      <c r="D200" s="33">
        <v>414</v>
      </c>
    </row>
    <row r="201" spans="2:4" ht="13" x14ac:dyDescent="0.15">
      <c r="B201" s="33" t="s">
        <v>232</v>
      </c>
      <c r="C201" s="33">
        <f t="shared" ca="1" si="0"/>
        <v>384</v>
      </c>
      <c r="D201" s="33">
        <v>27</v>
      </c>
    </row>
    <row r="202" spans="2:4" ht="13" x14ac:dyDescent="0.15">
      <c r="B202" s="33" t="s">
        <v>233</v>
      </c>
      <c r="C202" s="33">
        <f t="shared" ca="1" si="0"/>
        <v>426</v>
      </c>
      <c r="D202" s="33">
        <v>293</v>
      </c>
    </row>
    <row r="203" spans="2:4" ht="13" x14ac:dyDescent="0.15">
      <c r="B203" s="33" t="s">
        <v>234</v>
      </c>
      <c r="C203" s="33">
        <f t="shared" ca="1" si="0"/>
        <v>184</v>
      </c>
      <c r="D203" s="33">
        <v>236</v>
      </c>
    </row>
    <row r="204" spans="2:4" ht="13" x14ac:dyDescent="0.15">
      <c r="B204" s="33" t="s">
        <v>235</v>
      </c>
      <c r="C204" s="33">
        <f t="shared" ca="1" si="0"/>
        <v>449</v>
      </c>
      <c r="D204" s="33">
        <v>279</v>
      </c>
    </row>
    <row r="205" spans="2:4" ht="13" x14ac:dyDescent="0.15">
      <c r="B205" s="33" t="s">
        <v>236</v>
      </c>
      <c r="C205" s="33">
        <f t="shared" ca="1" si="0"/>
        <v>273</v>
      </c>
      <c r="D205" s="33">
        <v>370</v>
      </c>
    </row>
    <row r="206" spans="2:4" ht="13" x14ac:dyDescent="0.15">
      <c r="B206" s="33" t="s">
        <v>237</v>
      </c>
      <c r="C206" s="33">
        <f t="shared" ca="1" si="0"/>
        <v>299</v>
      </c>
      <c r="D206" s="33">
        <v>221</v>
      </c>
    </row>
    <row r="207" spans="2:4" ht="13" x14ac:dyDescent="0.15">
      <c r="B207" s="33" t="s">
        <v>238</v>
      </c>
      <c r="C207" s="33">
        <f t="shared" ca="1" si="0"/>
        <v>261</v>
      </c>
      <c r="D207" s="33">
        <v>24</v>
      </c>
    </row>
    <row r="208" spans="2:4" ht="13" x14ac:dyDescent="0.15">
      <c r="B208" s="33" t="s">
        <v>239</v>
      </c>
      <c r="C208" s="33">
        <f t="shared" ca="1" si="0"/>
        <v>302</v>
      </c>
      <c r="D208" s="33">
        <v>185</v>
      </c>
    </row>
    <row r="209" spans="2:4" ht="13" x14ac:dyDescent="0.15">
      <c r="B209" s="33" t="s">
        <v>240</v>
      </c>
      <c r="C209" s="33">
        <f t="shared" ca="1" si="0"/>
        <v>269</v>
      </c>
      <c r="D209" s="33">
        <v>292</v>
      </c>
    </row>
    <row r="210" spans="2:4" ht="13" x14ac:dyDescent="0.15">
      <c r="B210" s="33" t="s">
        <v>241</v>
      </c>
      <c r="C210" s="33">
        <f t="shared" ca="1" si="0"/>
        <v>70</v>
      </c>
      <c r="D210" s="33">
        <v>415</v>
      </c>
    </row>
    <row r="211" spans="2:4" ht="13" x14ac:dyDescent="0.15">
      <c r="B211" s="33" t="s">
        <v>242</v>
      </c>
      <c r="C211" s="33">
        <f t="shared" ca="1" si="0"/>
        <v>116</v>
      </c>
      <c r="D211" s="33">
        <v>246</v>
      </c>
    </row>
    <row r="212" spans="2:4" ht="13" x14ac:dyDescent="0.15">
      <c r="B212" s="33" t="s">
        <v>243</v>
      </c>
      <c r="C212" s="33">
        <f t="shared" ca="1" si="0"/>
        <v>181</v>
      </c>
      <c r="D212" s="33">
        <v>189</v>
      </c>
    </row>
    <row r="213" spans="2:4" ht="13" x14ac:dyDescent="0.15">
      <c r="B213" s="33" t="s">
        <v>244</v>
      </c>
      <c r="C213" s="33">
        <f t="shared" ca="1" si="0"/>
        <v>460</v>
      </c>
      <c r="D213" s="33">
        <v>203</v>
      </c>
    </row>
    <row r="214" spans="2:4" ht="13" x14ac:dyDescent="0.15">
      <c r="B214" s="33" t="s">
        <v>245</v>
      </c>
      <c r="C214" s="33">
        <f t="shared" ca="1" si="0"/>
        <v>54</v>
      </c>
      <c r="D214" s="33">
        <v>384</v>
      </c>
    </row>
    <row r="215" spans="2:4" ht="13" x14ac:dyDescent="0.15">
      <c r="B215" s="33" t="s">
        <v>246</v>
      </c>
      <c r="C215" s="33">
        <f t="shared" ca="1" si="0"/>
        <v>441</v>
      </c>
      <c r="D215" s="33">
        <v>212</v>
      </c>
    </row>
    <row r="216" spans="2:4" ht="13" x14ac:dyDescent="0.15">
      <c r="B216" s="33" t="s">
        <v>247</v>
      </c>
      <c r="C216" s="33">
        <f t="shared" ca="1" si="0"/>
        <v>287</v>
      </c>
      <c r="D216" s="33">
        <v>407</v>
      </c>
    </row>
    <row r="217" spans="2:4" ht="13" x14ac:dyDescent="0.15">
      <c r="B217" s="33" t="s">
        <v>248</v>
      </c>
      <c r="C217" s="33">
        <f t="shared" ca="1" si="0"/>
        <v>196</v>
      </c>
      <c r="D217" s="33">
        <v>187</v>
      </c>
    </row>
    <row r="218" spans="2:4" ht="13" x14ac:dyDescent="0.15">
      <c r="B218" s="33" t="s">
        <v>249</v>
      </c>
      <c r="C218" s="33">
        <f t="shared" ca="1" si="0"/>
        <v>324</v>
      </c>
      <c r="D218" s="33">
        <v>135</v>
      </c>
    </row>
    <row r="219" spans="2:4" ht="13" x14ac:dyDescent="0.15">
      <c r="B219" s="33" t="s">
        <v>250</v>
      </c>
      <c r="C219" s="33">
        <f t="shared" ca="1" si="0"/>
        <v>443</v>
      </c>
      <c r="D219" s="33">
        <v>173</v>
      </c>
    </row>
    <row r="220" spans="2:4" ht="13" x14ac:dyDescent="0.15">
      <c r="B220" s="33" t="s">
        <v>251</v>
      </c>
      <c r="C220" s="33">
        <f t="shared" ca="1" si="0"/>
        <v>5</v>
      </c>
      <c r="D220" s="33">
        <v>27</v>
      </c>
    </row>
    <row r="221" spans="2:4" ht="13" x14ac:dyDescent="0.15">
      <c r="B221" s="33" t="s">
        <v>252</v>
      </c>
      <c r="C221" s="33">
        <f t="shared" ca="1" si="0"/>
        <v>124</v>
      </c>
      <c r="D221" s="33">
        <v>447</v>
      </c>
    </row>
    <row r="222" spans="2:4" ht="13" x14ac:dyDescent="0.15">
      <c r="B222" s="33" t="s">
        <v>253</v>
      </c>
      <c r="C222" s="33">
        <f t="shared" ca="1" si="0"/>
        <v>248</v>
      </c>
      <c r="D222" s="33">
        <v>39</v>
      </c>
    </row>
    <row r="223" spans="2:4" ht="13" x14ac:dyDescent="0.15">
      <c r="B223" s="33" t="s">
        <v>254</v>
      </c>
      <c r="C223" s="33">
        <f t="shared" ca="1" si="0"/>
        <v>55</v>
      </c>
      <c r="D223" s="33">
        <v>124</v>
      </c>
    </row>
    <row r="224" spans="2:4" ht="13" x14ac:dyDescent="0.15">
      <c r="B224" s="33" t="s">
        <v>255</v>
      </c>
      <c r="C224" s="33">
        <f t="shared" ca="1" si="0"/>
        <v>404</v>
      </c>
      <c r="D224" s="33">
        <v>208</v>
      </c>
    </row>
    <row r="225" spans="2:4" ht="13" x14ac:dyDescent="0.15">
      <c r="B225" s="33" t="s">
        <v>256</v>
      </c>
      <c r="C225" s="33">
        <f t="shared" ca="1" si="0"/>
        <v>207</v>
      </c>
      <c r="D225" s="33">
        <v>79</v>
      </c>
    </row>
    <row r="226" spans="2:4" ht="13" x14ac:dyDescent="0.15">
      <c r="B226" s="33" t="s">
        <v>257</v>
      </c>
      <c r="C226" s="33">
        <f t="shared" ca="1" si="0"/>
        <v>262</v>
      </c>
      <c r="D226" s="33">
        <v>113</v>
      </c>
    </row>
    <row r="227" spans="2:4" ht="13" x14ac:dyDescent="0.15">
      <c r="B227" s="33" t="s">
        <v>258</v>
      </c>
      <c r="C227" s="33">
        <f t="shared" ca="1" si="0"/>
        <v>147</v>
      </c>
      <c r="D227" s="33">
        <v>320</v>
      </c>
    </row>
    <row r="228" spans="2:4" ht="13" x14ac:dyDescent="0.15">
      <c r="B228" s="33" t="s">
        <v>259</v>
      </c>
      <c r="C228" s="33">
        <f t="shared" ca="1" si="0"/>
        <v>152</v>
      </c>
      <c r="D228" s="33">
        <v>2</v>
      </c>
    </row>
    <row r="229" spans="2:4" ht="13" x14ac:dyDescent="0.15">
      <c r="B229" s="33" t="s">
        <v>260</v>
      </c>
      <c r="C229" s="33">
        <f t="shared" ca="1" si="0"/>
        <v>255</v>
      </c>
      <c r="D229" s="33">
        <v>87</v>
      </c>
    </row>
    <row r="230" spans="2:4" ht="13" x14ac:dyDescent="0.15">
      <c r="B230" s="33" t="s">
        <v>261</v>
      </c>
      <c r="C230" s="33">
        <f t="shared" ca="1" si="0"/>
        <v>81</v>
      </c>
      <c r="D230" s="33">
        <v>453</v>
      </c>
    </row>
    <row r="231" spans="2:4" ht="13" x14ac:dyDescent="0.15">
      <c r="B231" s="33" t="s">
        <v>262</v>
      </c>
      <c r="C231" s="33">
        <f t="shared" ca="1" si="0"/>
        <v>368</v>
      </c>
      <c r="D231" s="33">
        <v>371</v>
      </c>
    </row>
    <row r="232" spans="2:4" ht="13" x14ac:dyDescent="0.15">
      <c r="B232" s="33" t="s">
        <v>263</v>
      </c>
      <c r="C232" s="33">
        <f t="shared" ca="1" si="0"/>
        <v>39</v>
      </c>
      <c r="D232" s="33">
        <v>281</v>
      </c>
    </row>
    <row r="233" spans="2:4" ht="13" x14ac:dyDescent="0.15">
      <c r="B233" s="33" t="s">
        <v>264</v>
      </c>
      <c r="C233" s="33">
        <f t="shared" ca="1" si="0"/>
        <v>435</v>
      </c>
      <c r="D233" s="33">
        <v>38</v>
      </c>
    </row>
    <row r="234" spans="2:4" ht="13" x14ac:dyDescent="0.15">
      <c r="B234" s="33" t="s">
        <v>265</v>
      </c>
      <c r="C234" s="33">
        <f t="shared" ca="1" si="0"/>
        <v>389</v>
      </c>
      <c r="D234" s="33">
        <v>275</v>
      </c>
    </row>
    <row r="235" spans="2:4" ht="13" x14ac:dyDescent="0.15">
      <c r="B235" s="33" t="s">
        <v>266</v>
      </c>
      <c r="C235" s="33">
        <f t="shared" ca="1" si="0"/>
        <v>317</v>
      </c>
      <c r="D235" s="33">
        <v>125</v>
      </c>
    </row>
    <row r="236" spans="2:4" ht="13" x14ac:dyDescent="0.15">
      <c r="B236" s="33" t="s">
        <v>267</v>
      </c>
      <c r="C236" s="33">
        <f t="shared" ca="1" si="0"/>
        <v>436</v>
      </c>
      <c r="D236" s="33">
        <v>64</v>
      </c>
    </row>
    <row r="237" spans="2:4" ht="13" x14ac:dyDescent="0.15">
      <c r="B237" s="33" t="s">
        <v>268</v>
      </c>
      <c r="C237" s="33">
        <f t="shared" ca="1" si="0"/>
        <v>245</v>
      </c>
      <c r="D237" s="33">
        <v>450</v>
      </c>
    </row>
    <row r="238" spans="2:4" ht="13" x14ac:dyDescent="0.15">
      <c r="B238" s="33" t="s">
        <v>269</v>
      </c>
      <c r="C238" s="33">
        <f t="shared" ca="1" si="0"/>
        <v>416</v>
      </c>
      <c r="D238" s="33">
        <v>63</v>
      </c>
    </row>
    <row r="239" spans="2:4" ht="13" x14ac:dyDescent="0.15">
      <c r="B239" s="33" t="s">
        <v>270</v>
      </c>
      <c r="C239" s="33">
        <f t="shared" ca="1" si="0"/>
        <v>315</v>
      </c>
      <c r="D239" s="33">
        <v>250</v>
      </c>
    </row>
    <row r="240" spans="2:4" ht="13" x14ac:dyDescent="0.15">
      <c r="B240" s="33" t="s">
        <v>271</v>
      </c>
      <c r="C240" s="33">
        <f t="shared" ca="1" si="0"/>
        <v>378</v>
      </c>
      <c r="D240" s="33">
        <v>350</v>
      </c>
    </row>
    <row r="241" spans="2:4" ht="13" x14ac:dyDescent="0.15">
      <c r="B241" s="33" t="s">
        <v>272</v>
      </c>
      <c r="C241" s="33">
        <f t="shared" ca="1" si="0"/>
        <v>156</v>
      </c>
      <c r="D241" s="33">
        <v>279</v>
      </c>
    </row>
    <row r="242" spans="2:4" ht="13" x14ac:dyDescent="0.15">
      <c r="B242" s="33" t="s">
        <v>273</v>
      </c>
      <c r="C242" s="33">
        <f t="shared" ca="1" si="0"/>
        <v>258</v>
      </c>
      <c r="D242" s="33">
        <v>115</v>
      </c>
    </row>
    <row r="243" spans="2:4" ht="13" x14ac:dyDescent="0.15">
      <c r="B243" s="33" t="s">
        <v>274</v>
      </c>
      <c r="C243" s="33">
        <f t="shared" ca="1" si="0"/>
        <v>332</v>
      </c>
      <c r="D243" s="33">
        <v>112</v>
      </c>
    </row>
    <row r="244" spans="2:4" ht="13" x14ac:dyDescent="0.15">
      <c r="B244" s="33" t="s">
        <v>275</v>
      </c>
      <c r="C244" s="33">
        <f t="shared" ca="1" si="0"/>
        <v>92</v>
      </c>
      <c r="D244" s="33">
        <v>138</v>
      </c>
    </row>
    <row r="245" spans="2:4" ht="13" x14ac:dyDescent="0.15">
      <c r="B245" s="33" t="s">
        <v>276</v>
      </c>
      <c r="C245" s="33">
        <f t="shared" ca="1" si="0"/>
        <v>396</v>
      </c>
      <c r="D245" s="33">
        <v>48</v>
      </c>
    </row>
    <row r="246" spans="2:4" ht="13" x14ac:dyDescent="0.15">
      <c r="B246" s="33" t="s">
        <v>277</v>
      </c>
      <c r="C246" s="33">
        <f t="shared" ca="1" si="0"/>
        <v>232</v>
      </c>
      <c r="D246" s="33">
        <v>237</v>
      </c>
    </row>
    <row r="247" spans="2:4" ht="13" x14ac:dyDescent="0.15">
      <c r="B247" s="33" t="s">
        <v>278</v>
      </c>
      <c r="C247" s="33">
        <f t="shared" ca="1" si="0"/>
        <v>212</v>
      </c>
      <c r="D247" s="33">
        <v>243</v>
      </c>
    </row>
    <row r="248" spans="2:4" ht="13" x14ac:dyDescent="0.15">
      <c r="B248" s="33" t="s">
        <v>279</v>
      </c>
      <c r="C248" s="33">
        <f t="shared" ca="1" si="0"/>
        <v>429</v>
      </c>
      <c r="D248" s="33">
        <v>147</v>
      </c>
    </row>
    <row r="249" spans="2:4" ht="13" x14ac:dyDescent="0.15">
      <c r="B249" s="33" t="s">
        <v>280</v>
      </c>
      <c r="C249" s="33">
        <f t="shared" ca="1" si="0"/>
        <v>102</v>
      </c>
      <c r="D249" s="33">
        <v>246</v>
      </c>
    </row>
    <row r="250" spans="2:4" ht="13" x14ac:dyDescent="0.15">
      <c r="B250" s="33" t="s">
        <v>281</v>
      </c>
      <c r="C250" s="33">
        <f t="shared" ca="1" si="0"/>
        <v>339</v>
      </c>
      <c r="D250" s="33">
        <v>375</v>
      </c>
    </row>
    <row r="251" spans="2:4" ht="13" x14ac:dyDescent="0.15">
      <c r="B251" s="33" t="s">
        <v>282</v>
      </c>
      <c r="C251" s="33">
        <f t="shared" ca="1" si="0"/>
        <v>135</v>
      </c>
      <c r="D251" s="33">
        <v>237</v>
      </c>
    </row>
    <row r="252" spans="2:4" ht="13" x14ac:dyDescent="0.15">
      <c r="B252" s="33" t="s">
        <v>283</v>
      </c>
      <c r="C252" s="33">
        <f t="shared" ca="1" si="0"/>
        <v>339</v>
      </c>
      <c r="D252" s="33">
        <v>462</v>
      </c>
    </row>
    <row r="253" spans="2:4" ht="13" x14ac:dyDescent="0.15">
      <c r="B253" s="33" t="s">
        <v>284</v>
      </c>
      <c r="C253" s="33">
        <f t="shared" ca="1" si="0"/>
        <v>80</v>
      </c>
      <c r="D253" s="33">
        <v>32</v>
      </c>
    </row>
    <row r="254" spans="2:4" ht="13" x14ac:dyDescent="0.15">
      <c r="B254" s="33" t="s">
        <v>285</v>
      </c>
      <c r="C254" s="33">
        <f t="shared" ca="1" si="0"/>
        <v>83</v>
      </c>
      <c r="D254" s="33">
        <v>387</v>
      </c>
    </row>
    <row r="255" spans="2:4" ht="13" x14ac:dyDescent="0.15">
      <c r="B255" s="33" t="s">
        <v>286</v>
      </c>
      <c r="C255" s="33">
        <f t="shared" ca="1" si="0"/>
        <v>431</v>
      </c>
      <c r="D255" s="33">
        <v>92</v>
      </c>
    </row>
    <row r="256" spans="2:4" ht="13" x14ac:dyDescent="0.15">
      <c r="B256" s="33" t="s">
        <v>287</v>
      </c>
      <c r="C256" s="33">
        <f t="shared" ca="1" si="0"/>
        <v>251</v>
      </c>
      <c r="D256" s="33">
        <v>295</v>
      </c>
    </row>
    <row r="257" spans="2:4" ht="13" x14ac:dyDescent="0.15">
      <c r="B257" s="33" t="s">
        <v>288</v>
      </c>
      <c r="C257" s="33">
        <f t="shared" ca="1" si="0"/>
        <v>365</v>
      </c>
      <c r="D257" s="33">
        <v>120</v>
      </c>
    </row>
    <row r="258" spans="2:4" ht="13" x14ac:dyDescent="0.15">
      <c r="B258" s="33" t="s">
        <v>289</v>
      </c>
      <c r="C258" s="33">
        <f t="shared" ca="1" si="0"/>
        <v>273</v>
      </c>
      <c r="D258" s="33">
        <v>367</v>
      </c>
    </row>
    <row r="259" spans="2:4" ht="13" x14ac:dyDescent="0.15">
      <c r="B259" s="33" t="s">
        <v>290</v>
      </c>
      <c r="C259" s="33">
        <f t="shared" ca="1" si="0"/>
        <v>168</v>
      </c>
      <c r="D259" s="33">
        <v>220</v>
      </c>
    </row>
    <row r="260" spans="2:4" ht="13" x14ac:dyDescent="0.15">
      <c r="B260" s="33" t="s">
        <v>291</v>
      </c>
      <c r="C260" s="33">
        <f t="shared" ca="1" si="0"/>
        <v>324</v>
      </c>
      <c r="D260" s="33">
        <v>171</v>
      </c>
    </row>
    <row r="261" spans="2:4" ht="13" x14ac:dyDescent="0.15">
      <c r="B261" s="33" t="s">
        <v>292</v>
      </c>
      <c r="C261" s="33">
        <f t="shared" ca="1" si="0"/>
        <v>225</v>
      </c>
      <c r="D261" s="33">
        <v>237</v>
      </c>
    </row>
    <row r="262" spans="2:4" ht="13" x14ac:dyDescent="0.15">
      <c r="B262" s="33" t="s">
        <v>293</v>
      </c>
      <c r="C262" s="33">
        <f t="shared" ca="1" si="0"/>
        <v>357</v>
      </c>
      <c r="D262" s="33">
        <v>78</v>
      </c>
    </row>
    <row r="263" spans="2:4" ht="13" x14ac:dyDescent="0.15">
      <c r="B263" s="33" t="s">
        <v>294</v>
      </c>
      <c r="C263" s="33">
        <f t="shared" ca="1" si="0"/>
        <v>389</v>
      </c>
      <c r="D263" s="33">
        <v>204</v>
      </c>
    </row>
    <row r="264" spans="2:4" ht="13" x14ac:dyDescent="0.15">
      <c r="B264" s="33" t="s">
        <v>295</v>
      </c>
      <c r="C264" s="33">
        <f t="shared" ca="1" si="0"/>
        <v>295</v>
      </c>
      <c r="D264" s="33">
        <v>171</v>
      </c>
    </row>
    <row r="265" spans="2:4" ht="13" x14ac:dyDescent="0.15">
      <c r="B265" s="33" t="s">
        <v>296</v>
      </c>
      <c r="C265" s="33">
        <f t="shared" ca="1" si="0"/>
        <v>321</v>
      </c>
      <c r="D265" s="33">
        <v>120</v>
      </c>
    </row>
    <row r="266" spans="2:4" ht="13" x14ac:dyDescent="0.15">
      <c r="B266" s="33" t="s">
        <v>297</v>
      </c>
      <c r="C266" s="33">
        <f t="shared" ca="1" si="0"/>
        <v>405</v>
      </c>
      <c r="D266" s="33">
        <v>344</v>
      </c>
    </row>
    <row r="267" spans="2:4" ht="13" x14ac:dyDescent="0.15">
      <c r="B267" s="33" t="s">
        <v>298</v>
      </c>
      <c r="C267" s="33">
        <f t="shared" ca="1" si="0"/>
        <v>194</v>
      </c>
      <c r="D267" s="33">
        <v>451</v>
      </c>
    </row>
    <row r="268" spans="2:4" ht="13" x14ac:dyDescent="0.15">
      <c r="B268" s="33" t="s">
        <v>299</v>
      </c>
      <c r="C268" s="33">
        <f t="shared" ca="1" si="0"/>
        <v>14</v>
      </c>
      <c r="D268" s="33">
        <v>429</v>
      </c>
    </row>
    <row r="269" spans="2:4" ht="13" x14ac:dyDescent="0.15">
      <c r="B269" s="33" t="s">
        <v>300</v>
      </c>
      <c r="C269" s="33">
        <f t="shared" ca="1" si="0"/>
        <v>371</v>
      </c>
      <c r="D269" s="33">
        <v>396</v>
      </c>
    </row>
    <row r="270" spans="2:4" ht="13" x14ac:dyDescent="0.15">
      <c r="B270" s="33" t="s">
        <v>301</v>
      </c>
      <c r="C270" s="33">
        <f t="shared" ca="1" si="0"/>
        <v>26</v>
      </c>
      <c r="D270" s="33">
        <v>410</v>
      </c>
    </row>
    <row r="271" spans="2:4" ht="13" x14ac:dyDescent="0.15">
      <c r="B271" s="33" t="s">
        <v>302</v>
      </c>
      <c r="C271" s="33">
        <f t="shared" ca="1" si="0"/>
        <v>150</v>
      </c>
      <c r="D271" s="33">
        <v>98</v>
      </c>
    </row>
    <row r="272" spans="2:4" ht="13" x14ac:dyDescent="0.15">
      <c r="B272" s="33" t="s">
        <v>303</v>
      </c>
      <c r="C272" s="33">
        <f t="shared" ca="1" si="0"/>
        <v>130</v>
      </c>
      <c r="D272" s="33">
        <v>238</v>
      </c>
    </row>
    <row r="273" spans="2:4" ht="13" x14ac:dyDescent="0.15">
      <c r="B273" s="33" t="s">
        <v>304</v>
      </c>
      <c r="C273" s="33">
        <f t="shared" ca="1" si="0"/>
        <v>52</v>
      </c>
      <c r="D273" s="33">
        <v>224</v>
      </c>
    </row>
    <row r="274" spans="2:4" ht="13" x14ac:dyDescent="0.15">
      <c r="B274" s="33" t="s">
        <v>305</v>
      </c>
      <c r="C274" s="33">
        <f t="shared" ca="1" si="0"/>
        <v>378</v>
      </c>
      <c r="D274" s="33">
        <v>111</v>
      </c>
    </row>
    <row r="275" spans="2:4" ht="13" x14ac:dyDescent="0.15">
      <c r="B275" s="33" t="s">
        <v>306</v>
      </c>
      <c r="C275" s="33">
        <f t="shared" ca="1" si="0"/>
        <v>404</v>
      </c>
      <c r="D275" s="33">
        <v>324</v>
      </c>
    </row>
    <row r="276" spans="2:4" ht="13" x14ac:dyDescent="0.15">
      <c r="B276" s="33" t="s">
        <v>307</v>
      </c>
      <c r="C276" s="33">
        <f t="shared" ca="1" si="0"/>
        <v>260</v>
      </c>
      <c r="D276" s="33">
        <v>107</v>
      </c>
    </row>
    <row r="277" spans="2:4" ht="13" x14ac:dyDescent="0.15">
      <c r="B277" s="33" t="s">
        <v>308</v>
      </c>
      <c r="C277" s="33">
        <f t="shared" ca="1" si="0"/>
        <v>405</v>
      </c>
      <c r="D277" s="33">
        <v>442</v>
      </c>
    </row>
    <row r="278" spans="2:4" ht="13" x14ac:dyDescent="0.15">
      <c r="B278" s="33" t="s">
        <v>309</v>
      </c>
      <c r="C278" s="33">
        <f t="shared" ca="1" si="0"/>
        <v>276</v>
      </c>
      <c r="D278" s="33">
        <v>384</v>
      </c>
    </row>
    <row r="279" spans="2:4" ht="13" x14ac:dyDescent="0.15">
      <c r="B279" s="33" t="s">
        <v>310</v>
      </c>
      <c r="C279" s="33">
        <f t="shared" ca="1" si="0"/>
        <v>117</v>
      </c>
      <c r="D279" s="33">
        <v>461</v>
      </c>
    </row>
    <row r="280" spans="2:4" ht="13" x14ac:dyDescent="0.15">
      <c r="B280" s="33" t="s">
        <v>311</v>
      </c>
      <c r="C280" s="33">
        <f t="shared" ca="1" si="0"/>
        <v>169</v>
      </c>
      <c r="D280" s="33">
        <v>18</v>
      </c>
    </row>
    <row r="281" spans="2:4" ht="13" x14ac:dyDescent="0.15">
      <c r="B281" s="33" t="s">
        <v>312</v>
      </c>
      <c r="C281" s="33">
        <f t="shared" ca="1" si="0"/>
        <v>331</v>
      </c>
      <c r="D281" s="33">
        <v>142</v>
      </c>
    </row>
    <row r="282" spans="2:4" ht="13" x14ac:dyDescent="0.15">
      <c r="B282" s="33" t="s">
        <v>313</v>
      </c>
      <c r="C282" s="33">
        <f t="shared" ca="1" si="0"/>
        <v>345</v>
      </c>
      <c r="D282" s="33">
        <v>244</v>
      </c>
    </row>
    <row r="283" spans="2:4" ht="13" x14ac:dyDescent="0.15">
      <c r="B283" s="33" t="s">
        <v>314</v>
      </c>
      <c r="C283" s="33">
        <f t="shared" ca="1" si="0"/>
        <v>402</v>
      </c>
      <c r="D283" s="33">
        <v>390</v>
      </c>
    </row>
    <row r="284" spans="2:4" ht="13" x14ac:dyDescent="0.15">
      <c r="B284" s="33" t="s">
        <v>315</v>
      </c>
      <c r="C284" s="33">
        <f t="shared" ca="1" si="0"/>
        <v>64</v>
      </c>
      <c r="D284" s="33">
        <v>449</v>
      </c>
    </row>
    <row r="285" spans="2:4" ht="13" x14ac:dyDescent="0.15">
      <c r="B285" s="33" t="s">
        <v>316</v>
      </c>
      <c r="C285" s="33">
        <f t="shared" ca="1" si="0"/>
        <v>373</v>
      </c>
      <c r="D285" s="33">
        <v>54</v>
      </c>
    </row>
    <row r="286" spans="2:4" ht="13" x14ac:dyDescent="0.15">
      <c r="B286" s="33" t="s">
        <v>317</v>
      </c>
      <c r="C286" s="33">
        <f t="shared" ca="1" si="0"/>
        <v>294</v>
      </c>
      <c r="D286" s="33">
        <v>113</v>
      </c>
    </row>
    <row r="287" spans="2:4" ht="13" x14ac:dyDescent="0.15">
      <c r="B287" s="33" t="s">
        <v>318</v>
      </c>
      <c r="C287" s="33">
        <f t="shared" ca="1" si="0"/>
        <v>390</v>
      </c>
      <c r="D287" s="33">
        <v>413</v>
      </c>
    </row>
    <row r="288" spans="2:4" ht="13" x14ac:dyDescent="0.15">
      <c r="B288" s="33" t="s">
        <v>319</v>
      </c>
      <c r="C288" s="33">
        <f t="shared" ca="1" si="0"/>
        <v>376</v>
      </c>
      <c r="D288" s="33">
        <v>374</v>
      </c>
    </row>
    <row r="289" spans="2:4" ht="13" x14ac:dyDescent="0.15">
      <c r="B289" s="33" t="s">
        <v>320</v>
      </c>
      <c r="C289" s="33">
        <f t="shared" ca="1" si="0"/>
        <v>417</v>
      </c>
      <c r="D289" s="33">
        <v>51</v>
      </c>
    </row>
    <row r="290" spans="2:4" ht="13" x14ac:dyDescent="0.15">
      <c r="B290" s="33" t="s">
        <v>321</v>
      </c>
      <c r="C290" s="33">
        <f t="shared" ca="1" si="0"/>
        <v>37</v>
      </c>
      <c r="D290" s="33">
        <v>141</v>
      </c>
    </row>
    <row r="291" spans="2:4" ht="13" x14ac:dyDescent="0.15">
      <c r="B291" s="33" t="s">
        <v>322</v>
      </c>
      <c r="C291" s="33">
        <f t="shared" ca="1" si="0"/>
        <v>462</v>
      </c>
      <c r="D291" s="33">
        <v>200</v>
      </c>
    </row>
    <row r="292" spans="2:4" ht="13" x14ac:dyDescent="0.15">
      <c r="B292" s="33" t="s">
        <v>323</v>
      </c>
      <c r="C292" s="33">
        <f t="shared" ca="1" si="0"/>
        <v>236</v>
      </c>
      <c r="D292" s="33">
        <v>357</v>
      </c>
    </row>
    <row r="293" spans="2:4" ht="13" x14ac:dyDescent="0.15">
      <c r="B293" s="33" t="s">
        <v>324</v>
      </c>
      <c r="C293" s="33">
        <f t="shared" ca="1" si="0"/>
        <v>336</v>
      </c>
      <c r="D293" s="33">
        <v>120</v>
      </c>
    </row>
    <row r="294" spans="2:4" ht="13" x14ac:dyDescent="0.15">
      <c r="B294" s="33" t="s">
        <v>325</v>
      </c>
      <c r="C294" s="33">
        <f t="shared" ca="1" si="0"/>
        <v>97</v>
      </c>
      <c r="D294" s="33">
        <v>214</v>
      </c>
    </row>
    <row r="295" spans="2:4" ht="13" x14ac:dyDescent="0.15">
      <c r="B295" s="33" t="s">
        <v>326</v>
      </c>
      <c r="C295" s="33">
        <f t="shared" ca="1" si="0"/>
        <v>2</v>
      </c>
      <c r="D295" s="33">
        <v>80</v>
      </c>
    </row>
    <row r="296" spans="2:4" ht="13" x14ac:dyDescent="0.15">
      <c r="B296" s="33" t="s">
        <v>327</v>
      </c>
      <c r="C296" s="33">
        <f t="shared" ca="1" si="0"/>
        <v>303</v>
      </c>
      <c r="D296" s="33">
        <v>95</v>
      </c>
    </row>
    <row r="297" spans="2:4" ht="13" x14ac:dyDescent="0.15">
      <c r="B297" s="33" t="s">
        <v>2</v>
      </c>
      <c r="C297" s="33">
        <f t="shared" ca="1" si="0"/>
        <v>441</v>
      </c>
      <c r="D297" s="33">
        <v>285</v>
      </c>
    </row>
    <row r="298" spans="2:4" ht="13" x14ac:dyDescent="0.15">
      <c r="B298" s="33" t="s">
        <v>328</v>
      </c>
      <c r="C298" s="33">
        <f t="shared" ca="1" si="0"/>
        <v>298</v>
      </c>
      <c r="D298" s="33">
        <v>7</v>
      </c>
    </row>
    <row r="299" spans="2:4" ht="13" x14ac:dyDescent="0.15">
      <c r="B299" s="33" t="s">
        <v>329</v>
      </c>
      <c r="C299" s="33">
        <f t="shared" ca="1" si="0"/>
        <v>342</v>
      </c>
      <c r="D299" s="33">
        <v>380</v>
      </c>
    </row>
    <row r="300" spans="2:4" ht="13" x14ac:dyDescent="0.15">
      <c r="B300" s="33" t="s">
        <v>330</v>
      </c>
      <c r="C300" s="33">
        <f t="shared" ca="1" si="0"/>
        <v>47</v>
      </c>
      <c r="D300" s="33">
        <v>385</v>
      </c>
    </row>
    <row r="301" spans="2:4" ht="13" x14ac:dyDescent="0.15">
      <c r="B301" s="33" t="s">
        <v>331</v>
      </c>
      <c r="C301" s="33">
        <f t="shared" ca="1" si="0"/>
        <v>230</v>
      </c>
      <c r="D301" s="33">
        <v>366</v>
      </c>
    </row>
    <row r="302" spans="2:4" ht="13" x14ac:dyDescent="0.15">
      <c r="B302" s="33" t="s">
        <v>332</v>
      </c>
      <c r="C302" s="33">
        <f t="shared" ca="1" si="0"/>
        <v>231</v>
      </c>
      <c r="D302" s="33">
        <v>38</v>
      </c>
    </row>
    <row r="303" spans="2:4" ht="13" x14ac:dyDescent="0.15">
      <c r="B303" s="33" t="s">
        <v>333</v>
      </c>
      <c r="C303" s="33">
        <f t="shared" ca="1" si="0"/>
        <v>360</v>
      </c>
      <c r="D303" s="33">
        <v>303</v>
      </c>
    </row>
    <row r="304" spans="2:4" ht="13" x14ac:dyDescent="0.15">
      <c r="B304" s="33" t="s">
        <v>334</v>
      </c>
      <c r="C304" s="33">
        <f t="shared" ca="1" si="0"/>
        <v>142</v>
      </c>
      <c r="D304" s="33">
        <v>410</v>
      </c>
    </row>
    <row r="305" spans="2:4" ht="13" x14ac:dyDescent="0.15">
      <c r="B305" s="33" t="s">
        <v>335</v>
      </c>
      <c r="C305" s="33">
        <f t="shared" ca="1" si="0"/>
        <v>316</v>
      </c>
      <c r="D305" s="33">
        <v>222</v>
      </c>
    </row>
    <row r="306" spans="2:4" ht="13" x14ac:dyDescent="0.15">
      <c r="B306" s="33" t="s">
        <v>336</v>
      </c>
      <c r="C306" s="33">
        <f t="shared" ca="1" si="0"/>
        <v>237</v>
      </c>
      <c r="D306" s="33">
        <v>279</v>
      </c>
    </row>
    <row r="307" spans="2:4" ht="13" x14ac:dyDescent="0.15">
      <c r="B307" s="33" t="s">
        <v>337</v>
      </c>
      <c r="C307" s="33">
        <f t="shared" ca="1" si="0"/>
        <v>429</v>
      </c>
      <c r="D307" s="33">
        <v>93</v>
      </c>
    </row>
    <row r="308" spans="2:4" ht="13" x14ac:dyDescent="0.15">
      <c r="B308" s="33" t="s">
        <v>338</v>
      </c>
      <c r="C308" s="33">
        <f t="shared" ca="1" si="0"/>
        <v>301</v>
      </c>
      <c r="D308" s="33">
        <v>143</v>
      </c>
    </row>
    <row r="309" spans="2:4" ht="13" x14ac:dyDescent="0.15">
      <c r="B309" s="33" t="s">
        <v>339</v>
      </c>
      <c r="C309" s="33">
        <f t="shared" ca="1" si="0"/>
        <v>311</v>
      </c>
      <c r="D309" s="33">
        <v>295</v>
      </c>
    </row>
    <row r="310" spans="2:4" ht="13" x14ac:dyDescent="0.15">
      <c r="B310" s="33" t="s">
        <v>340</v>
      </c>
      <c r="C310" s="33">
        <f t="shared" ca="1" si="0"/>
        <v>295</v>
      </c>
      <c r="D310" s="33">
        <v>356</v>
      </c>
    </row>
    <row r="311" spans="2:4" ht="13" x14ac:dyDescent="0.15">
      <c r="B311" s="33" t="s">
        <v>341</v>
      </c>
      <c r="C311" s="33">
        <f t="shared" ca="1" si="0"/>
        <v>342</v>
      </c>
      <c r="D311" s="33">
        <v>398</v>
      </c>
    </row>
    <row r="312" spans="2:4" ht="13" x14ac:dyDescent="0.15">
      <c r="B312" s="33" t="s">
        <v>342</v>
      </c>
      <c r="C312" s="33">
        <f t="shared" ca="1" si="0"/>
        <v>392</v>
      </c>
      <c r="D312" s="33">
        <v>102</v>
      </c>
    </row>
    <row r="313" spans="2:4" ht="13" x14ac:dyDescent="0.15">
      <c r="B313" s="33" t="s">
        <v>343</v>
      </c>
      <c r="C313" s="33">
        <f t="shared" ca="1" si="0"/>
        <v>216</v>
      </c>
      <c r="D313" s="33">
        <v>28</v>
      </c>
    </row>
    <row r="314" spans="2:4" ht="13" x14ac:dyDescent="0.15">
      <c r="B314" s="33" t="s">
        <v>344</v>
      </c>
      <c r="C314" s="33">
        <f t="shared" ca="1" si="0"/>
        <v>281</v>
      </c>
      <c r="D314" s="33">
        <v>155</v>
      </c>
    </row>
    <row r="315" spans="2:4" ht="13" x14ac:dyDescent="0.15">
      <c r="B315" s="33" t="s">
        <v>345</v>
      </c>
      <c r="C315" s="33">
        <f t="shared" ca="1" si="0"/>
        <v>211</v>
      </c>
      <c r="D315" s="33">
        <v>62</v>
      </c>
    </row>
    <row r="316" spans="2:4" ht="13" x14ac:dyDescent="0.15">
      <c r="B316" s="33" t="s">
        <v>346</v>
      </c>
      <c r="C316" s="33">
        <f t="shared" ca="1" si="0"/>
        <v>219</v>
      </c>
      <c r="D316" s="33">
        <v>366</v>
      </c>
    </row>
    <row r="317" spans="2:4" ht="13" x14ac:dyDescent="0.15">
      <c r="B317" s="33" t="s">
        <v>347</v>
      </c>
      <c r="C317" s="33">
        <f t="shared" ca="1" si="0"/>
        <v>94</v>
      </c>
      <c r="D317" s="33">
        <v>312</v>
      </c>
    </row>
    <row r="318" spans="2:4" ht="13" x14ac:dyDescent="0.15">
      <c r="B318" s="33" t="s">
        <v>348</v>
      </c>
      <c r="C318" s="33">
        <f t="shared" ca="1" si="0"/>
        <v>237</v>
      </c>
      <c r="D318" s="33">
        <v>194</v>
      </c>
    </row>
    <row r="319" spans="2:4" ht="13" x14ac:dyDescent="0.15">
      <c r="B319" s="33" t="s">
        <v>349</v>
      </c>
      <c r="C319" s="33">
        <f t="shared" ca="1" si="0"/>
        <v>142</v>
      </c>
      <c r="D319" s="33">
        <v>176</v>
      </c>
    </row>
    <row r="320" spans="2:4" ht="13" x14ac:dyDescent="0.15">
      <c r="B320" s="33" t="s">
        <v>350</v>
      </c>
      <c r="C320" s="33">
        <f t="shared" ca="1" si="0"/>
        <v>112</v>
      </c>
      <c r="D320" s="33">
        <v>283</v>
      </c>
    </row>
    <row r="321" spans="2:4" ht="13" x14ac:dyDescent="0.15">
      <c r="B321" s="33" t="s">
        <v>351</v>
      </c>
      <c r="C321" s="33">
        <f t="shared" ca="1" si="0"/>
        <v>463</v>
      </c>
      <c r="D321" s="33">
        <v>42</v>
      </c>
    </row>
    <row r="322" spans="2:4" ht="13" x14ac:dyDescent="0.15">
      <c r="B322" s="33" t="s">
        <v>352</v>
      </c>
      <c r="C322" s="33">
        <f t="shared" ca="1" si="0"/>
        <v>48</v>
      </c>
      <c r="D322" s="33">
        <v>324</v>
      </c>
    </row>
    <row r="323" spans="2:4" ht="13" x14ac:dyDescent="0.15">
      <c r="B323" s="33" t="s">
        <v>353</v>
      </c>
      <c r="C323" s="33">
        <f t="shared" ca="1" si="0"/>
        <v>92</v>
      </c>
      <c r="D323" s="33">
        <v>219</v>
      </c>
    </row>
    <row r="324" spans="2:4" ht="13" x14ac:dyDescent="0.15">
      <c r="B324" s="33" t="s">
        <v>354</v>
      </c>
      <c r="C324" s="33">
        <f t="shared" ca="1" si="0"/>
        <v>412</v>
      </c>
      <c r="D324" s="33">
        <v>230</v>
      </c>
    </row>
    <row r="325" spans="2:4" ht="13" x14ac:dyDescent="0.15">
      <c r="B325" s="33" t="s">
        <v>355</v>
      </c>
      <c r="C325" s="33">
        <f t="shared" ca="1" si="0"/>
        <v>106</v>
      </c>
      <c r="D325" s="33">
        <v>473</v>
      </c>
    </row>
    <row r="326" spans="2:4" ht="13" x14ac:dyDescent="0.15">
      <c r="B326" s="33" t="s">
        <v>356</v>
      </c>
      <c r="C326" s="33">
        <f t="shared" ca="1" si="0"/>
        <v>302</v>
      </c>
      <c r="D326" s="33">
        <v>251</v>
      </c>
    </row>
    <row r="327" spans="2:4" ht="13" x14ac:dyDescent="0.15">
      <c r="B327" s="33" t="s">
        <v>357</v>
      </c>
      <c r="C327" s="33">
        <f t="shared" ca="1" si="0"/>
        <v>283</v>
      </c>
      <c r="D327" s="33">
        <v>296</v>
      </c>
    </row>
    <row r="328" spans="2:4" ht="13" x14ac:dyDescent="0.15">
      <c r="B328" s="33" t="s">
        <v>358</v>
      </c>
      <c r="C328" s="33">
        <f t="shared" ca="1" si="0"/>
        <v>276</v>
      </c>
      <c r="D328" s="33">
        <v>319</v>
      </c>
    </row>
    <row r="329" spans="2:4" ht="13" x14ac:dyDescent="0.15">
      <c r="B329" s="33" t="s">
        <v>359</v>
      </c>
      <c r="C329" s="33">
        <f t="shared" ca="1" si="0"/>
        <v>6</v>
      </c>
      <c r="D329" s="33">
        <v>294</v>
      </c>
    </row>
    <row r="330" spans="2:4" ht="13" x14ac:dyDescent="0.15">
      <c r="B330" s="33" t="s">
        <v>360</v>
      </c>
      <c r="C330" s="33">
        <f t="shared" ca="1" si="0"/>
        <v>392</v>
      </c>
      <c r="D330" s="33">
        <v>442</v>
      </c>
    </row>
    <row r="331" spans="2:4" ht="13" x14ac:dyDescent="0.15">
      <c r="B331" s="33" t="s">
        <v>361</v>
      </c>
      <c r="C331" s="33">
        <f t="shared" ca="1" si="0"/>
        <v>287</v>
      </c>
      <c r="D331" s="33">
        <v>12</v>
      </c>
    </row>
    <row r="332" spans="2:4" ht="13" x14ac:dyDescent="0.15">
      <c r="B332" s="33" t="s">
        <v>362</v>
      </c>
      <c r="C332" s="33">
        <f t="shared" ca="1" si="0"/>
        <v>446</v>
      </c>
      <c r="D332" s="33">
        <v>2</v>
      </c>
    </row>
    <row r="333" spans="2:4" ht="13" x14ac:dyDescent="0.15">
      <c r="B333" s="33" t="s">
        <v>363</v>
      </c>
      <c r="C333" s="33">
        <f t="shared" ca="1" si="0"/>
        <v>85</v>
      </c>
      <c r="D333" s="33">
        <v>108</v>
      </c>
    </row>
    <row r="334" spans="2:4" ht="13" x14ac:dyDescent="0.15">
      <c r="B334" s="33" t="s">
        <v>364</v>
      </c>
      <c r="C334" s="33">
        <f t="shared" ca="1" si="0"/>
        <v>170</v>
      </c>
      <c r="D334" s="33">
        <v>23</v>
      </c>
    </row>
    <row r="335" spans="2:4" ht="13" x14ac:dyDescent="0.15">
      <c r="B335" s="33" t="s">
        <v>365</v>
      </c>
      <c r="C335" s="33">
        <f t="shared" ca="1" si="0"/>
        <v>297</v>
      </c>
      <c r="D335" s="33">
        <v>320</v>
      </c>
    </row>
    <row r="336" spans="2:4" ht="13" x14ac:dyDescent="0.15">
      <c r="B336" s="33" t="s">
        <v>366</v>
      </c>
      <c r="C336" s="33">
        <f t="shared" ca="1" si="0"/>
        <v>155</v>
      </c>
      <c r="D336" s="33">
        <v>426</v>
      </c>
    </row>
    <row r="337" spans="2:4" ht="13" x14ac:dyDescent="0.15">
      <c r="B337" s="33" t="s">
        <v>367</v>
      </c>
      <c r="C337" s="33">
        <f t="shared" ca="1" si="0"/>
        <v>104</v>
      </c>
      <c r="D337" s="33">
        <v>371</v>
      </c>
    </row>
    <row r="338" spans="2:4" ht="13" x14ac:dyDescent="0.15">
      <c r="B338" s="33" t="s">
        <v>368</v>
      </c>
      <c r="C338" s="33">
        <f t="shared" ca="1" si="0"/>
        <v>124</v>
      </c>
      <c r="D338" s="33">
        <v>469</v>
      </c>
    </row>
    <row r="339" spans="2:4" ht="13" x14ac:dyDescent="0.15">
      <c r="B339" s="33" t="s">
        <v>369</v>
      </c>
      <c r="C339" s="33">
        <f t="shared" ca="1" si="0"/>
        <v>433</v>
      </c>
      <c r="D339" s="33">
        <v>96</v>
      </c>
    </row>
    <row r="340" spans="2:4" ht="13" x14ac:dyDescent="0.15">
      <c r="B340" s="33" t="s">
        <v>370</v>
      </c>
      <c r="C340" s="33">
        <f t="shared" ca="1" si="0"/>
        <v>373</v>
      </c>
      <c r="D340" s="33">
        <v>320</v>
      </c>
    </row>
    <row r="341" spans="2:4" ht="13" x14ac:dyDescent="0.15">
      <c r="B341" s="33" t="s">
        <v>371</v>
      </c>
      <c r="C341" s="33">
        <f t="shared" ca="1" si="0"/>
        <v>288</v>
      </c>
      <c r="D341" s="33">
        <v>267</v>
      </c>
    </row>
    <row r="342" spans="2:4" ht="13" x14ac:dyDescent="0.15">
      <c r="B342" s="33" t="s">
        <v>372</v>
      </c>
      <c r="C342" s="33">
        <f t="shared" ca="1" si="0"/>
        <v>386</v>
      </c>
      <c r="D342" s="33">
        <v>346</v>
      </c>
    </row>
    <row r="343" spans="2:4" ht="13" x14ac:dyDescent="0.15">
      <c r="B343" s="33" t="s">
        <v>373</v>
      </c>
      <c r="C343" s="33">
        <f t="shared" ca="1" si="0"/>
        <v>406</v>
      </c>
      <c r="D343" s="33">
        <v>100</v>
      </c>
    </row>
    <row r="344" spans="2:4" ht="13" x14ac:dyDescent="0.15">
      <c r="B344" s="33" t="s">
        <v>374</v>
      </c>
      <c r="C344" s="33">
        <f t="shared" ca="1" si="0"/>
        <v>343</v>
      </c>
      <c r="D344" s="33">
        <v>208</v>
      </c>
    </row>
    <row r="345" spans="2:4" ht="13" x14ac:dyDescent="0.15">
      <c r="B345" s="33" t="s">
        <v>375</v>
      </c>
      <c r="C345" s="33">
        <f t="shared" ca="1" si="0"/>
        <v>471</v>
      </c>
      <c r="D345" s="33">
        <v>466</v>
      </c>
    </row>
    <row r="346" spans="2:4" ht="13" x14ac:dyDescent="0.15">
      <c r="B346" s="33" t="s">
        <v>376</v>
      </c>
      <c r="C346" s="33">
        <f t="shared" ca="1" si="0"/>
        <v>295</v>
      </c>
      <c r="D346" s="33">
        <v>444</v>
      </c>
    </row>
    <row r="347" spans="2:4" ht="13" x14ac:dyDescent="0.15">
      <c r="B347" s="33" t="s">
        <v>377</v>
      </c>
      <c r="C347" s="33">
        <f t="shared" ca="1" si="0"/>
        <v>161</v>
      </c>
      <c r="D347" s="33">
        <v>21</v>
      </c>
    </row>
    <row r="348" spans="2:4" ht="13" x14ac:dyDescent="0.15">
      <c r="B348" s="33" t="s">
        <v>378</v>
      </c>
      <c r="C348" s="33">
        <f t="shared" ca="1" si="0"/>
        <v>265</v>
      </c>
      <c r="D348" s="33">
        <v>386</v>
      </c>
    </row>
    <row r="349" spans="2:4" ht="13" x14ac:dyDescent="0.15">
      <c r="B349" s="33" t="s">
        <v>379</v>
      </c>
      <c r="C349" s="33">
        <f t="shared" ca="1" si="0"/>
        <v>427</v>
      </c>
      <c r="D349" s="33">
        <v>179</v>
      </c>
    </row>
    <row r="350" spans="2:4" ht="13" x14ac:dyDescent="0.15">
      <c r="B350" s="33" t="s">
        <v>380</v>
      </c>
      <c r="C350" s="33">
        <f t="shared" ca="1" si="0"/>
        <v>39</v>
      </c>
      <c r="D350" s="33">
        <v>130</v>
      </c>
    </row>
    <row r="351" spans="2:4" ht="13" x14ac:dyDescent="0.15">
      <c r="B351" s="33" t="s">
        <v>381</v>
      </c>
      <c r="C351" s="33">
        <f t="shared" ca="1" si="0"/>
        <v>172</v>
      </c>
      <c r="D351" s="33">
        <v>344</v>
      </c>
    </row>
    <row r="352" spans="2:4" ht="13" x14ac:dyDescent="0.15">
      <c r="B352" s="33" t="s">
        <v>382</v>
      </c>
      <c r="C352" s="33">
        <f t="shared" ca="1" si="0"/>
        <v>60</v>
      </c>
      <c r="D352" s="33">
        <v>410</v>
      </c>
    </row>
    <row r="353" spans="2:4" ht="13" x14ac:dyDescent="0.15">
      <c r="B353" s="33" t="s">
        <v>383</v>
      </c>
      <c r="C353" s="33">
        <f t="shared" ca="1" si="0"/>
        <v>144</v>
      </c>
      <c r="D353" s="33">
        <v>281</v>
      </c>
    </row>
    <row r="354" spans="2:4" ht="13" x14ac:dyDescent="0.15">
      <c r="B354" s="33" t="s">
        <v>384</v>
      </c>
      <c r="C354" s="33">
        <f t="shared" ca="1" si="0"/>
        <v>358</v>
      </c>
      <c r="D354" s="33">
        <v>465</v>
      </c>
    </row>
    <row r="355" spans="2:4" ht="13" x14ac:dyDescent="0.15">
      <c r="B355" s="33" t="s">
        <v>385</v>
      </c>
      <c r="C355" s="33">
        <f t="shared" ca="1" si="0"/>
        <v>180</v>
      </c>
      <c r="D355" s="33">
        <v>299</v>
      </c>
    </row>
    <row r="356" spans="2:4" ht="13" x14ac:dyDescent="0.15">
      <c r="B356" s="33" t="s">
        <v>386</v>
      </c>
      <c r="C356" s="33">
        <f t="shared" ca="1" si="0"/>
        <v>256</v>
      </c>
      <c r="D356" s="33">
        <v>303</v>
      </c>
    </row>
    <row r="357" spans="2:4" ht="13" x14ac:dyDescent="0.15">
      <c r="B357" s="33" t="s">
        <v>387</v>
      </c>
      <c r="C357" s="33">
        <f t="shared" ca="1" si="0"/>
        <v>261</v>
      </c>
      <c r="D357" s="33">
        <v>289</v>
      </c>
    </row>
    <row r="358" spans="2:4" ht="13" x14ac:dyDescent="0.15">
      <c r="B358" s="33" t="s">
        <v>388</v>
      </c>
      <c r="C358" s="33">
        <f t="shared" ca="1" si="0"/>
        <v>195</v>
      </c>
      <c r="D358" s="33">
        <v>192</v>
      </c>
    </row>
    <row r="359" spans="2:4" ht="13" x14ac:dyDescent="0.15">
      <c r="B359" s="33" t="s">
        <v>389</v>
      </c>
      <c r="C359" s="33">
        <f t="shared" ca="1" si="0"/>
        <v>448</v>
      </c>
      <c r="D359" s="33">
        <v>175</v>
      </c>
    </row>
    <row r="360" spans="2:4" ht="13" x14ac:dyDescent="0.15">
      <c r="B360" s="33" t="s">
        <v>390</v>
      </c>
      <c r="C360" s="33">
        <f t="shared" ca="1" si="0"/>
        <v>252</v>
      </c>
      <c r="D360" s="33">
        <v>217</v>
      </c>
    </row>
    <row r="361" spans="2:4" ht="13" x14ac:dyDescent="0.15">
      <c r="B361" s="33" t="s">
        <v>391</v>
      </c>
      <c r="C361" s="33">
        <f t="shared" ca="1" si="0"/>
        <v>174</v>
      </c>
      <c r="D361" s="33">
        <v>170</v>
      </c>
    </row>
    <row r="362" spans="2:4" ht="13" x14ac:dyDescent="0.15">
      <c r="B362" s="33" t="s">
        <v>392</v>
      </c>
      <c r="C362" s="33">
        <f t="shared" ca="1" si="0"/>
        <v>331</v>
      </c>
      <c r="D362" s="33">
        <v>433</v>
      </c>
    </row>
    <row r="363" spans="2:4" ht="13" x14ac:dyDescent="0.15">
      <c r="B363" s="33" t="s">
        <v>393</v>
      </c>
      <c r="C363" s="33">
        <f t="shared" ca="1" si="0"/>
        <v>328</v>
      </c>
      <c r="D363" s="33">
        <v>387</v>
      </c>
    </row>
    <row r="364" spans="2:4" ht="13" x14ac:dyDescent="0.15">
      <c r="B364" s="33" t="s">
        <v>394</v>
      </c>
      <c r="C364" s="33">
        <f t="shared" ca="1" si="0"/>
        <v>452</v>
      </c>
      <c r="D364" s="33">
        <v>163</v>
      </c>
    </row>
    <row r="365" spans="2:4" ht="13" x14ac:dyDescent="0.15">
      <c r="B365" s="33" t="s">
        <v>395</v>
      </c>
      <c r="C365" s="33">
        <f t="shared" ca="1" si="0"/>
        <v>442</v>
      </c>
      <c r="D365" s="33">
        <v>16</v>
      </c>
    </row>
    <row r="366" spans="2:4" ht="13" x14ac:dyDescent="0.15">
      <c r="B366" s="33" t="s">
        <v>396</v>
      </c>
      <c r="C366" s="33">
        <f t="shared" ca="1" si="0"/>
        <v>89</v>
      </c>
      <c r="D366" s="33">
        <v>347</v>
      </c>
    </row>
    <row r="367" spans="2:4" ht="13" x14ac:dyDescent="0.15">
      <c r="B367" s="33" t="s">
        <v>397</v>
      </c>
      <c r="C367" s="33">
        <f t="shared" ca="1" si="0"/>
        <v>56</v>
      </c>
      <c r="D367" s="33">
        <v>59</v>
      </c>
    </row>
    <row r="368" spans="2:4" ht="13" x14ac:dyDescent="0.15">
      <c r="B368" s="33" t="s">
        <v>398</v>
      </c>
      <c r="C368" s="33">
        <f t="shared" ca="1" si="0"/>
        <v>178</v>
      </c>
      <c r="D368" s="33">
        <v>440</v>
      </c>
    </row>
    <row r="369" spans="2:4" ht="13" x14ac:dyDescent="0.15">
      <c r="B369" s="33" t="s">
        <v>399</v>
      </c>
      <c r="C369" s="33">
        <f t="shared" ca="1" si="0"/>
        <v>323</v>
      </c>
      <c r="D369" s="33">
        <v>6</v>
      </c>
    </row>
    <row r="370" spans="2:4" ht="13" x14ac:dyDescent="0.15">
      <c r="B370" s="33" t="s">
        <v>400</v>
      </c>
      <c r="C370" s="33">
        <f t="shared" ca="1" si="0"/>
        <v>324</v>
      </c>
      <c r="D370" s="33">
        <v>141</v>
      </c>
    </row>
    <row r="371" spans="2:4" ht="13" x14ac:dyDescent="0.15">
      <c r="B371" s="33" t="s">
        <v>401</v>
      </c>
      <c r="C371" s="33">
        <f t="shared" ca="1" si="0"/>
        <v>121</v>
      </c>
      <c r="D371" s="33">
        <v>283</v>
      </c>
    </row>
    <row r="372" spans="2:4" ht="13" x14ac:dyDescent="0.15">
      <c r="B372" s="33" t="s">
        <v>402</v>
      </c>
      <c r="C372" s="33">
        <f t="shared" ca="1" si="0"/>
        <v>258</v>
      </c>
      <c r="D372" s="33">
        <v>405</v>
      </c>
    </row>
    <row r="373" spans="2:4" ht="13" x14ac:dyDescent="0.15">
      <c r="B373" s="33" t="s">
        <v>403</v>
      </c>
      <c r="C373" s="33">
        <f t="shared" ca="1" si="0"/>
        <v>346</v>
      </c>
      <c r="D373" s="33">
        <v>188</v>
      </c>
    </row>
    <row r="374" spans="2:4" ht="13" x14ac:dyDescent="0.15">
      <c r="B374" s="33" t="s">
        <v>404</v>
      </c>
      <c r="C374" s="33">
        <f t="shared" ca="1" si="0"/>
        <v>68</v>
      </c>
      <c r="D374" s="33">
        <v>78</v>
      </c>
    </row>
    <row r="375" spans="2:4" ht="13" x14ac:dyDescent="0.15">
      <c r="B375" s="33" t="s">
        <v>405</v>
      </c>
      <c r="C375" s="33">
        <f t="shared" ca="1" si="0"/>
        <v>98</v>
      </c>
      <c r="D375" s="33">
        <v>125</v>
      </c>
    </row>
    <row r="376" spans="2:4" ht="13" x14ac:dyDescent="0.15">
      <c r="B376" s="33" t="s">
        <v>406</v>
      </c>
      <c r="C376" s="33">
        <f t="shared" ca="1" si="0"/>
        <v>160</v>
      </c>
      <c r="D376" s="33">
        <v>432</v>
      </c>
    </row>
    <row r="377" spans="2:4" ht="13" x14ac:dyDescent="0.15">
      <c r="B377" s="33" t="s">
        <v>407</v>
      </c>
      <c r="C377" s="33">
        <f t="shared" ca="1" si="0"/>
        <v>136</v>
      </c>
      <c r="D377" s="33">
        <v>388</v>
      </c>
    </row>
    <row r="378" spans="2:4" ht="13" x14ac:dyDescent="0.15">
      <c r="B378" s="33" t="s">
        <v>408</v>
      </c>
      <c r="C378" s="33">
        <f t="shared" ca="1" si="0"/>
        <v>275</v>
      </c>
      <c r="D378" s="33">
        <v>426</v>
      </c>
    </row>
    <row r="379" spans="2:4" ht="13" x14ac:dyDescent="0.15">
      <c r="B379" s="33" t="s">
        <v>409</v>
      </c>
      <c r="C379" s="33">
        <f t="shared" ca="1" si="0"/>
        <v>174</v>
      </c>
      <c r="D379" s="33">
        <v>322</v>
      </c>
    </row>
    <row r="380" spans="2:4" ht="13" x14ac:dyDescent="0.15">
      <c r="B380" s="33" t="s">
        <v>410</v>
      </c>
      <c r="C380" s="33">
        <f t="shared" ca="1" si="0"/>
        <v>331</v>
      </c>
      <c r="D380" s="33">
        <v>61</v>
      </c>
    </row>
    <row r="381" spans="2:4" ht="13" x14ac:dyDescent="0.15">
      <c r="B381" s="33" t="s">
        <v>411</v>
      </c>
      <c r="C381" s="33">
        <f t="shared" ca="1" si="0"/>
        <v>24</v>
      </c>
      <c r="D381" s="33">
        <v>418</v>
      </c>
    </row>
    <row r="382" spans="2:4" ht="13" x14ac:dyDescent="0.15">
      <c r="B382" s="33" t="s">
        <v>412</v>
      </c>
      <c r="C382" s="33">
        <f t="shared" ca="1" si="0"/>
        <v>184</v>
      </c>
      <c r="D382" s="33">
        <v>35</v>
      </c>
    </row>
    <row r="383" spans="2:4" ht="13" x14ac:dyDescent="0.15">
      <c r="B383" s="33" t="s">
        <v>413</v>
      </c>
      <c r="C383" s="33">
        <f t="shared" ca="1" si="0"/>
        <v>284</v>
      </c>
      <c r="D383" s="33">
        <v>121</v>
      </c>
    </row>
    <row r="384" spans="2:4" ht="13" x14ac:dyDescent="0.15">
      <c r="B384" s="33" t="s">
        <v>414</v>
      </c>
      <c r="C384" s="33">
        <f t="shared" ca="1" si="0"/>
        <v>207</v>
      </c>
      <c r="D384" s="33">
        <v>276</v>
      </c>
    </row>
    <row r="385" spans="2:4" ht="13" x14ac:dyDescent="0.15">
      <c r="B385" s="33" t="s">
        <v>415</v>
      </c>
      <c r="C385" s="33">
        <f t="shared" ca="1" si="0"/>
        <v>360</v>
      </c>
      <c r="D385" s="33">
        <v>35</v>
      </c>
    </row>
    <row r="386" spans="2:4" ht="13" x14ac:dyDescent="0.15">
      <c r="B386" s="33" t="s">
        <v>416</v>
      </c>
      <c r="C386" s="33">
        <f t="shared" ca="1" si="0"/>
        <v>51</v>
      </c>
      <c r="D386" s="33">
        <v>101</v>
      </c>
    </row>
    <row r="387" spans="2:4" ht="13" x14ac:dyDescent="0.15">
      <c r="B387" s="33" t="s">
        <v>417</v>
      </c>
      <c r="C387" s="33">
        <f t="shared" ca="1" si="0"/>
        <v>182</v>
      </c>
      <c r="D387" s="33">
        <v>34</v>
      </c>
    </row>
    <row r="388" spans="2:4" ht="13" x14ac:dyDescent="0.15">
      <c r="B388" s="33" t="s">
        <v>418</v>
      </c>
      <c r="C388" s="33">
        <f t="shared" ca="1" si="0"/>
        <v>16</v>
      </c>
      <c r="D388" s="33">
        <v>11</v>
      </c>
    </row>
    <row r="389" spans="2:4" ht="13" x14ac:dyDescent="0.15">
      <c r="B389" s="33" t="s">
        <v>419</v>
      </c>
      <c r="C389" s="33">
        <f t="shared" ca="1" si="0"/>
        <v>442</v>
      </c>
      <c r="D389" s="33">
        <v>209</v>
      </c>
    </row>
    <row r="390" spans="2:4" ht="13" x14ac:dyDescent="0.15">
      <c r="B390" s="33" t="s">
        <v>420</v>
      </c>
      <c r="C390" s="33">
        <f t="shared" ca="1" si="0"/>
        <v>44</v>
      </c>
      <c r="D390" s="33">
        <v>294</v>
      </c>
    </row>
    <row r="391" spans="2:4" ht="13" x14ac:dyDescent="0.15">
      <c r="B391" s="33" t="s">
        <v>421</v>
      </c>
      <c r="C391" s="33">
        <f t="shared" ca="1" si="0"/>
        <v>178</v>
      </c>
      <c r="D391" s="33">
        <v>241</v>
      </c>
    </row>
    <row r="392" spans="2:4" ht="13" x14ac:dyDescent="0.15">
      <c r="B392" s="33" t="s">
        <v>422</v>
      </c>
      <c r="C392" s="33">
        <f t="shared" ca="1" si="0"/>
        <v>246</v>
      </c>
      <c r="D392" s="33">
        <v>70</v>
      </c>
    </row>
    <row r="393" spans="2:4" ht="13" x14ac:dyDescent="0.15">
      <c r="B393" s="33" t="s">
        <v>423</v>
      </c>
      <c r="C393" s="33">
        <f t="shared" ca="1" si="0"/>
        <v>82</v>
      </c>
      <c r="D393" s="33">
        <v>350</v>
      </c>
    </row>
    <row r="394" spans="2:4" ht="13" x14ac:dyDescent="0.15">
      <c r="B394" s="33" t="s">
        <v>424</v>
      </c>
      <c r="C394" s="33">
        <f t="shared" ca="1" si="0"/>
        <v>224</v>
      </c>
      <c r="D394" s="33">
        <v>453</v>
      </c>
    </row>
    <row r="395" spans="2:4" ht="13" x14ac:dyDescent="0.15">
      <c r="B395" s="33" t="s">
        <v>425</v>
      </c>
      <c r="C395" s="33">
        <f t="shared" ca="1" si="0"/>
        <v>295</v>
      </c>
      <c r="D395" s="33">
        <v>324</v>
      </c>
    </row>
    <row r="396" spans="2:4" ht="13" x14ac:dyDescent="0.15">
      <c r="B396" s="33" t="s">
        <v>426</v>
      </c>
      <c r="C396" s="33">
        <f t="shared" ca="1" si="0"/>
        <v>369</v>
      </c>
      <c r="D396" s="33">
        <v>72</v>
      </c>
    </row>
    <row r="397" spans="2:4" ht="13" x14ac:dyDescent="0.15">
      <c r="B397" s="33" t="s">
        <v>427</v>
      </c>
      <c r="C397" s="33">
        <f t="shared" ca="1" si="0"/>
        <v>326</v>
      </c>
      <c r="D397" s="33">
        <v>412</v>
      </c>
    </row>
    <row r="398" spans="2:4" ht="13" x14ac:dyDescent="0.15">
      <c r="B398" s="33" t="s">
        <v>428</v>
      </c>
      <c r="C398" s="33">
        <f t="shared" ca="1" si="0"/>
        <v>50</v>
      </c>
      <c r="D398" s="33">
        <v>390</v>
      </c>
    </row>
    <row r="399" spans="2:4" ht="13" x14ac:dyDescent="0.15">
      <c r="B399" s="33" t="s">
        <v>429</v>
      </c>
      <c r="C399" s="33">
        <f t="shared" ca="1" si="0"/>
        <v>370</v>
      </c>
      <c r="D399" s="33">
        <v>330</v>
      </c>
    </row>
    <row r="400" spans="2:4" ht="13" x14ac:dyDescent="0.15">
      <c r="B400" s="33" t="s">
        <v>430</v>
      </c>
      <c r="C400" s="33">
        <f t="shared" ca="1" si="0"/>
        <v>58</v>
      </c>
      <c r="D400" s="33">
        <v>78</v>
      </c>
    </row>
    <row r="401" spans="2:4" ht="13" x14ac:dyDescent="0.15">
      <c r="B401" s="33" t="s">
        <v>431</v>
      </c>
      <c r="C401" s="33">
        <f t="shared" ca="1" si="0"/>
        <v>286</v>
      </c>
      <c r="D401" s="33">
        <v>364</v>
      </c>
    </row>
    <row r="402" spans="2:4" ht="13" x14ac:dyDescent="0.15">
      <c r="B402" s="33" t="s">
        <v>432</v>
      </c>
      <c r="C402" s="33">
        <f t="shared" ca="1" si="0"/>
        <v>218</v>
      </c>
      <c r="D402" s="33">
        <v>459</v>
      </c>
    </row>
    <row r="403" spans="2:4" ht="13" x14ac:dyDescent="0.15">
      <c r="B403" s="33" t="s">
        <v>433</v>
      </c>
      <c r="C403" s="33">
        <f t="shared" ca="1" si="0"/>
        <v>59</v>
      </c>
      <c r="D403" s="33">
        <v>152</v>
      </c>
    </row>
    <row r="404" spans="2:4" ht="13" x14ac:dyDescent="0.15">
      <c r="B404" s="33" t="s">
        <v>434</v>
      </c>
      <c r="C404" s="33">
        <f t="shared" ca="1" si="0"/>
        <v>157</v>
      </c>
      <c r="D404" s="33">
        <v>108</v>
      </c>
    </row>
    <row r="405" spans="2:4" ht="13" x14ac:dyDescent="0.15">
      <c r="B405" s="33" t="s">
        <v>435</v>
      </c>
      <c r="C405" s="33">
        <f t="shared" ca="1" si="0"/>
        <v>329</v>
      </c>
      <c r="D405" s="33">
        <v>377</v>
      </c>
    </row>
    <row r="406" spans="2:4" ht="13" x14ac:dyDescent="0.15">
      <c r="B406" s="33" t="s">
        <v>436</v>
      </c>
      <c r="C406" s="33">
        <f t="shared" ca="1" si="0"/>
        <v>347</v>
      </c>
      <c r="D406" s="33">
        <v>160</v>
      </c>
    </row>
    <row r="407" spans="2:4" ht="13" x14ac:dyDescent="0.15">
      <c r="B407" s="33" t="s">
        <v>437</v>
      </c>
      <c r="C407" s="33">
        <f t="shared" ca="1" si="0"/>
        <v>86</v>
      </c>
      <c r="D407" s="33">
        <v>244</v>
      </c>
    </row>
    <row r="408" spans="2:4" ht="13" x14ac:dyDescent="0.15">
      <c r="B408" s="33" t="s">
        <v>438</v>
      </c>
      <c r="C408" s="33">
        <f t="shared" ca="1" si="0"/>
        <v>144</v>
      </c>
      <c r="D408" s="33">
        <v>424</v>
      </c>
    </row>
    <row r="409" spans="2:4" ht="13" x14ac:dyDescent="0.15">
      <c r="B409" s="33" t="s">
        <v>439</v>
      </c>
      <c r="C409" s="33">
        <f t="shared" ca="1" si="0"/>
        <v>333</v>
      </c>
      <c r="D409" s="33">
        <v>383</v>
      </c>
    </row>
    <row r="410" spans="2:4" ht="13" x14ac:dyDescent="0.15">
      <c r="B410" s="33" t="s">
        <v>440</v>
      </c>
      <c r="C410" s="33">
        <f t="shared" ca="1" si="0"/>
        <v>197</v>
      </c>
      <c r="D410" s="33">
        <v>420</v>
      </c>
    </row>
    <row r="411" spans="2:4" ht="13" x14ac:dyDescent="0.15">
      <c r="B411" s="33" t="s">
        <v>441</v>
      </c>
      <c r="C411" s="33">
        <f t="shared" ca="1" si="0"/>
        <v>274</v>
      </c>
      <c r="D411" s="33">
        <v>255</v>
      </c>
    </row>
    <row r="412" spans="2:4" ht="13" x14ac:dyDescent="0.15">
      <c r="B412" s="33" t="s">
        <v>442</v>
      </c>
      <c r="C412" s="33">
        <f t="shared" ca="1" si="0"/>
        <v>38</v>
      </c>
      <c r="D412" s="33">
        <v>369</v>
      </c>
    </row>
    <row r="413" spans="2:4" ht="13" x14ac:dyDescent="0.15">
      <c r="B413" s="33" t="s">
        <v>443</v>
      </c>
      <c r="C413" s="33">
        <f t="shared" ca="1" si="0"/>
        <v>465</v>
      </c>
      <c r="D413" s="33">
        <v>405</v>
      </c>
    </row>
    <row r="414" spans="2:4" ht="13" x14ac:dyDescent="0.15">
      <c r="B414" s="33" t="s">
        <v>444</v>
      </c>
      <c r="C414" s="33">
        <f t="shared" ca="1" si="0"/>
        <v>450</v>
      </c>
      <c r="D414" s="33">
        <v>10</v>
      </c>
    </row>
    <row r="415" spans="2:4" ht="13" x14ac:dyDescent="0.15">
      <c r="B415" s="33" t="s">
        <v>445</v>
      </c>
      <c r="C415" s="33">
        <f t="shared" ca="1" si="0"/>
        <v>77</v>
      </c>
      <c r="D415" s="33">
        <v>55</v>
      </c>
    </row>
    <row r="416" spans="2:4" ht="13" x14ac:dyDescent="0.15">
      <c r="B416" s="33" t="s">
        <v>446</v>
      </c>
      <c r="C416" s="33">
        <f t="shared" ca="1" si="0"/>
        <v>459</v>
      </c>
      <c r="D416" s="33">
        <v>74</v>
      </c>
    </row>
    <row r="417" spans="2:4" ht="13" x14ac:dyDescent="0.15">
      <c r="B417" s="33" t="s">
        <v>447</v>
      </c>
      <c r="C417" s="33">
        <f t="shared" ca="1" si="0"/>
        <v>83</v>
      </c>
      <c r="D417" s="33">
        <v>137</v>
      </c>
    </row>
    <row r="418" spans="2:4" ht="13" x14ac:dyDescent="0.15">
      <c r="B418" s="33" t="s">
        <v>448</v>
      </c>
      <c r="C418" s="33">
        <f t="shared" ca="1" si="0"/>
        <v>205</v>
      </c>
      <c r="D418" s="33">
        <v>222</v>
      </c>
    </row>
    <row r="419" spans="2:4" ht="13" x14ac:dyDescent="0.15">
      <c r="B419" s="33" t="s">
        <v>449</v>
      </c>
      <c r="C419" s="33">
        <f t="shared" ca="1" si="0"/>
        <v>436</v>
      </c>
      <c r="D419" s="33">
        <v>106</v>
      </c>
    </row>
    <row r="420" spans="2:4" ht="13" x14ac:dyDescent="0.15">
      <c r="B420" s="33" t="s">
        <v>450</v>
      </c>
      <c r="C420" s="33">
        <f t="shared" ca="1" si="0"/>
        <v>9</v>
      </c>
      <c r="D420" s="33">
        <v>142</v>
      </c>
    </row>
    <row r="421" spans="2:4" ht="13" x14ac:dyDescent="0.15">
      <c r="B421" s="33" t="s">
        <v>451</v>
      </c>
      <c r="C421" s="33">
        <f t="shared" ca="1" si="0"/>
        <v>431</v>
      </c>
      <c r="D421" s="33">
        <v>357</v>
      </c>
    </row>
    <row r="422" spans="2:4" ht="13" x14ac:dyDescent="0.15">
      <c r="B422" s="33" t="s">
        <v>452</v>
      </c>
      <c r="C422" s="33">
        <f t="shared" ca="1" si="0"/>
        <v>381</v>
      </c>
      <c r="D422" s="33">
        <v>351</v>
      </c>
    </row>
    <row r="423" spans="2:4" ht="13" x14ac:dyDescent="0.15">
      <c r="B423" s="33" t="s">
        <v>453</v>
      </c>
      <c r="C423" s="33">
        <f t="shared" ca="1" si="0"/>
        <v>468</v>
      </c>
      <c r="D423" s="33">
        <v>279</v>
      </c>
    </row>
    <row r="424" spans="2:4" ht="13" x14ac:dyDescent="0.15">
      <c r="B424" s="33" t="s">
        <v>454</v>
      </c>
      <c r="C424" s="33">
        <f t="shared" ca="1" si="0"/>
        <v>356</v>
      </c>
      <c r="D424" s="33">
        <v>156</v>
      </c>
    </row>
    <row r="425" spans="2:4" ht="13" x14ac:dyDescent="0.15">
      <c r="B425" s="33" t="s">
        <v>455</v>
      </c>
      <c r="C425" s="33">
        <f t="shared" ca="1" si="0"/>
        <v>427</v>
      </c>
      <c r="D425" s="33">
        <v>64</v>
      </c>
    </row>
    <row r="426" spans="2:4" ht="13" x14ac:dyDescent="0.15">
      <c r="B426" s="33" t="s">
        <v>456</v>
      </c>
      <c r="C426" s="33">
        <f t="shared" ca="1" si="0"/>
        <v>241</v>
      </c>
      <c r="D426" s="33">
        <v>253</v>
      </c>
    </row>
    <row r="427" spans="2:4" ht="13" x14ac:dyDescent="0.15">
      <c r="B427" s="33" t="s">
        <v>457</v>
      </c>
      <c r="C427" s="33">
        <f t="shared" ca="1" si="0"/>
        <v>71</v>
      </c>
      <c r="D427" s="33">
        <v>434</v>
      </c>
    </row>
    <row r="428" spans="2:4" ht="13" x14ac:dyDescent="0.15">
      <c r="B428" s="33" t="s">
        <v>458</v>
      </c>
      <c r="C428" s="33">
        <f t="shared" ca="1" si="0"/>
        <v>120</v>
      </c>
      <c r="D428" s="33">
        <v>72</v>
      </c>
    </row>
    <row r="429" spans="2:4" ht="13" x14ac:dyDescent="0.15">
      <c r="B429" s="33" t="s">
        <v>459</v>
      </c>
      <c r="C429" s="33">
        <f t="shared" ca="1" si="0"/>
        <v>458</v>
      </c>
      <c r="D429" s="33">
        <v>4</v>
      </c>
    </row>
    <row r="430" spans="2:4" ht="13" x14ac:dyDescent="0.15">
      <c r="B430" s="33" t="s">
        <v>460</v>
      </c>
      <c r="C430" s="33">
        <f t="shared" ca="1" si="0"/>
        <v>184</v>
      </c>
      <c r="D430" s="33">
        <v>21</v>
      </c>
    </row>
    <row r="431" spans="2:4" ht="13" x14ac:dyDescent="0.15">
      <c r="B431" s="33" t="s">
        <v>461</v>
      </c>
      <c r="C431" s="33">
        <f t="shared" ca="1" si="0"/>
        <v>130</v>
      </c>
      <c r="D431" s="33">
        <v>96</v>
      </c>
    </row>
    <row r="432" spans="2:4" ht="13" x14ac:dyDescent="0.15">
      <c r="B432" s="33" t="s">
        <v>462</v>
      </c>
      <c r="C432" s="33">
        <f t="shared" ca="1" si="0"/>
        <v>43</v>
      </c>
      <c r="D432" s="33">
        <v>275</v>
      </c>
    </row>
    <row r="433" spans="2:4" ht="13" x14ac:dyDescent="0.15">
      <c r="B433" s="33" t="s">
        <v>463</v>
      </c>
      <c r="C433" s="33">
        <f t="shared" ca="1" si="0"/>
        <v>112</v>
      </c>
      <c r="D433" s="33">
        <v>281</v>
      </c>
    </row>
    <row r="434" spans="2:4" ht="13" x14ac:dyDescent="0.15">
      <c r="B434" s="33" t="s">
        <v>464</v>
      </c>
      <c r="C434" s="33">
        <f t="shared" ca="1" si="0"/>
        <v>235</v>
      </c>
      <c r="D434" s="33">
        <v>385</v>
      </c>
    </row>
    <row r="435" spans="2:4" ht="13" x14ac:dyDescent="0.15">
      <c r="B435" s="33" t="s">
        <v>465</v>
      </c>
      <c r="C435" s="33">
        <f t="shared" ca="1" si="0"/>
        <v>382</v>
      </c>
      <c r="D435" s="33">
        <v>95</v>
      </c>
    </row>
    <row r="436" spans="2:4" ht="13" x14ac:dyDescent="0.15">
      <c r="B436" s="33" t="s">
        <v>466</v>
      </c>
      <c r="C436" s="33">
        <f t="shared" ca="1" si="0"/>
        <v>335</v>
      </c>
      <c r="D436" s="33">
        <v>398</v>
      </c>
    </row>
    <row r="437" spans="2:4" ht="13" x14ac:dyDescent="0.15">
      <c r="B437" s="33" t="s">
        <v>467</v>
      </c>
      <c r="C437" s="33">
        <f t="shared" ca="1" si="0"/>
        <v>36</v>
      </c>
      <c r="D437" s="33">
        <v>249</v>
      </c>
    </row>
    <row r="438" spans="2:4" ht="13" x14ac:dyDescent="0.15">
      <c r="B438" s="33" t="s">
        <v>468</v>
      </c>
      <c r="C438" s="33">
        <f t="shared" ca="1" si="0"/>
        <v>316</v>
      </c>
      <c r="D438" s="33">
        <v>254</v>
      </c>
    </row>
    <row r="439" spans="2:4" ht="13" x14ac:dyDescent="0.15">
      <c r="B439" s="33" t="s">
        <v>469</v>
      </c>
      <c r="C439" s="33">
        <f t="shared" ca="1" si="0"/>
        <v>452</v>
      </c>
      <c r="D439" s="33">
        <v>148</v>
      </c>
    </row>
    <row r="440" spans="2:4" ht="13" x14ac:dyDescent="0.15">
      <c r="B440" s="33" t="s">
        <v>470</v>
      </c>
      <c r="C440" s="33">
        <f t="shared" ca="1" si="0"/>
        <v>401</v>
      </c>
      <c r="D440" s="33">
        <v>183</v>
      </c>
    </row>
    <row r="441" spans="2:4" ht="13" x14ac:dyDescent="0.15">
      <c r="B441" s="33" t="s">
        <v>471</v>
      </c>
      <c r="C441" s="33">
        <f t="shared" ca="1" si="0"/>
        <v>278</v>
      </c>
      <c r="D441" s="33">
        <v>431</v>
      </c>
    </row>
    <row r="442" spans="2:4" ht="13" x14ac:dyDescent="0.15">
      <c r="B442" s="33" t="s">
        <v>472</v>
      </c>
      <c r="C442" s="33">
        <f t="shared" ca="1" si="0"/>
        <v>389</v>
      </c>
      <c r="D442" s="33">
        <v>100</v>
      </c>
    </row>
    <row r="443" spans="2:4" ht="13" x14ac:dyDescent="0.15">
      <c r="B443" s="33" t="s">
        <v>473</v>
      </c>
      <c r="C443" s="33">
        <f t="shared" ca="1" si="0"/>
        <v>238</v>
      </c>
      <c r="D443" s="33">
        <v>314</v>
      </c>
    </row>
    <row r="444" spans="2:4" ht="13" x14ac:dyDescent="0.15">
      <c r="B444" s="33" t="s">
        <v>474</v>
      </c>
      <c r="C444" s="33">
        <f t="shared" ca="1" si="0"/>
        <v>371</v>
      </c>
      <c r="D444" s="33">
        <v>220</v>
      </c>
    </row>
    <row r="445" spans="2:4" ht="13" x14ac:dyDescent="0.15">
      <c r="B445" s="33" t="s">
        <v>475</v>
      </c>
      <c r="C445" s="33">
        <f t="shared" ca="1" si="0"/>
        <v>76</v>
      </c>
      <c r="D445" s="33">
        <v>183</v>
      </c>
    </row>
    <row r="446" spans="2:4" ht="13" x14ac:dyDescent="0.15">
      <c r="B446" s="33" t="s">
        <v>476</v>
      </c>
      <c r="C446" s="33">
        <f t="shared" ca="1" si="0"/>
        <v>144</v>
      </c>
      <c r="D446" s="33">
        <v>108</v>
      </c>
    </row>
    <row r="447" spans="2:4" ht="13" x14ac:dyDescent="0.15">
      <c r="B447" s="33" t="s">
        <v>477</v>
      </c>
      <c r="C447" s="33">
        <f t="shared" ca="1" si="0"/>
        <v>315</v>
      </c>
      <c r="D447" s="33">
        <v>56</v>
      </c>
    </row>
    <row r="448" spans="2:4" ht="13" x14ac:dyDescent="0.15">
      <c r="B448" s="33" t="s">
        <v>478</v>
      </c>
      <c r="C448" s="33">
        <f t="shared" ca="1" si="0"/>
        <v>330</v>
      </c>
      <c r="D448" s="33">
        <v>432</v>
      </c>
    </row>
    <row r="449" spans="2:4" ht="13" x14ac:dyDescent="0.15">
      <c r="B449" s="33" t="s">
        <v>479</v>
      </c>
      <c r="C449" s="33">
        <f t="shared" ca="1" si="0"/>
        <v>239</v>
      </c>
      <c r="D449" s="33">
        <v>394</v>
      </c>
    </row>
    <row r="450" spans="2:4" ht="13" x14ac:dyDescent="0.15">
      <c r="B450" s="33" t="s">
        <v>480</v>
      </c>
      <c r="C450" s="33">
        <f t="shared" ca="1" si="0"/>
        <v>113</v>
      </c>
      <c r="D450" s="33">
        <v>117</v>
      </c>
    </row>
    <row r="451" spans="2:4" ht="13" x14ac:dyDescent="0.15">
      <c r="B451" s="33" t="s">
        <v>481</v>
      </c>
      <c r="C451" s="33">
        <f t="shared" ca="1" si="0"/>
        <v>90</v>
      </c>
      <c r="D451" s="33">
        <v>150</v>
      </c>
    </row>
    <row r="452" spans="2:4" ht="13" x14ac:dyDescent="0.15">
      <c r="B452" s="33" t="s">
        <v>482</v>
      </c>
      <c r="C452" s="33">
        <f t="shared" ca="1" si="0"/>
        <v>404</v>
      </c>
      <c r="D452" s="33">
        <v>200</v>
      </c>
    </row>
    <row r="453" spans="2:4" ht="13" x14ac:dyDescent="0.15">
      <c r="B453" s="33" t="s">
        <v>483</v>
      </c>
      <c r="C453" s="33">
        <f t="shared" ca="1" si="0"/>
        <v>359</v>
      </c>
      <c r="D453" s="33">
        <v>180</v>
      </c>
    </row>
    <row r="454" spans="2:4" ht="13" x14ac:dyDescent="0.15">
      <c r="B454" s="33" t="s">
        <v>484</v>
      </c>
      <c r="C454" s="33">
        <f t="shared" ca="1" si="0"/>
        <v>286</v>
      </c>
      <c r="D454" s="33">
        <v>51</v>
      </c>
    </row>
    <row r="455" spans="2:4" ht="13" x14ac:dyDescent="0.15">
      <c r="B455" s="33" t="s">
        <v>485</v>
      </c>
      <c r="C455" s="33">
        <f t="shared" ca="1" si="0"/>
        <v>239</v>
      </c>
      <c r="D455" s="33">
        <v>327</v>
      </c>
    </row>
    <row r="456" spans="2:4" ht="13" x14ac:dyDescent="0.15">
      <c r="B456" s="33" t="s">
        <v>486</v>
      </c>
      <c r="C456" s="33">
        <f t="shared" ca="1" si="0"/>
        <v>312</v>
      </c>
      <c r="D456" s="33">
        <v>429</v>
      </c>
    </row>
    <row r="457" spans="2:4" ht="13" x14ac:dyDescent="0.15">
      <c r="B457" s="33" t="s">
        <v>487</v>
      </c>
      <c r="C457" s="33">
        <f t="shared" ca="1" si="0"/>
        <v>385</v>
      </c>
      <c r="D457" s="33">
        <v>92</v>
      </c>
    </row>
    <row r="458" spans="2:4" ht="13" x14ac:dyDescent="0.15">
      <c r="B458" s="33" t="s">
        <v>488</v>
      </c>
      <c r="C458" s="33">
        <f t="shared" ca="1" si="0"/>
        <v>196</v>
      </c>
      <c r="D458" s="33">
        <v>347</v>
      </c>
    </row>
    <row r="459" spans="2:4" ht="13" x14ac:dyDescent="0.15">
      <c r="B459" s="33" t="s">
        <v>489</v>
      </c>
      <c r="C459" s="33">
        <f t="shared" ca="1" si="0"/>
        <v>77</v>
      </c>
      <c r="D459" s="33">
        <v>193</v>
      </c>
    </row>
    <row r="460" spans="2:4" ht="13" x14ac:dyDescent="0.15">
      <c r="B460" s="33" t="s">
        <v>490</v>
      </c>
      <c r="C460" s="33">
        <f t="shared" ca="1" si="0"/>
        <v>128</v>
      </c>
      <c r="D460" s="33">
        <v>339</v>
      </c>
    </row>
    <row r="461" spans="2:4" ht="13" x14ac:dyDescent="0.15">
      <c r="B461" s="33" t="s">
        <v>491</v>
      </c>
      <c r="C461" s="33">
        <f t="shared" ca="1" si="0"/>
        <v>212</v>
      </c>
      <c r="D461" s="33">
        <v>122</v>
      </c>
    </row>
    <row r="462" spans="2:4" ht="13" x14ac:dyDescent="0.15">
      <c r="B462" s="33" t="s">
        <v>492</v>
      </c>
      <c r="C462" s="33">
        <f t="shared" ca="1" si="0"/>
        <v>323</v>
      </c>
      <c r="D462" s="33">
        <v>326</v>
      </c>
    </row>
    <row r="463" spans="2:4" ht="13" x14ac:dyDescent="0.15">
      <c r="B463" s="33" t="s">
        <v>493</v>
      </c>
      <c r="C463" s="33">
        <f t="shared" ca="1" si="0"/>
        <v>423</v>
      </c>
      <c r="D463" s="33">
        <v>455</v>
      </c>
    </row>
    <row r="464" spans="2:4" ht="13" x14ac:dyDescent="0.15">
      <c r="B464" s="33" t="s">
        <v>494</v>
      </c>
      <c r="C464" s="33">
        <f t="shared" ca="1" si="0"/>
        <v>88</v>
      </c>
      <c r="D464" s="33">
        <v>29</v>
      </c>
    </row>
    <row r="465" spans="2:4" ht="13" x14ac:dyDescent="0.15">
      <c r="B465" s="33" t="s">
        <v>495</v>
      </c>
      <c r="C465" s="33">
        <f t="shared" ca="1" si="0"/>
        <v>155</v>
      </c>
      <c r="D465" s="33">
        <v>35</v>
      </c>
    </row>
    <row r="466" spans="2:4" ht="13" x14ac:dyDescent="0.15">
      <c r="B466" s="33" t="s">
        <v>496</v>
      </c>
      <c r="C466" s="33">
        <f t="shared" ca="1" si="0"/>
        <v>314</v>
      </c>
      <c r="D466" s="33">
        <v>432</v>
      </c>
    </row>
    <row r="467" spans="2:4" ht="13" x14ac:dyDescent="0.15">
      <c r="B467" s="33" t="s">
        <v>497</v>
      </c>
      <c r="C467" s="33">
        <f t="shared" ca="1" si="0"/>
        <v>40</v>
      </c>
      <c r="D467" s="33">
        <v>16</v>
      </c>
    </row>
    <row r="468" spans="2:4" ht="13" x14ac:dyDescent="0.15">
      <c r="B468" s="33" t="s">
        <v>498</v>
      </c>
      <c r="C468" s="33">
        <f t="shared" ca="1" si="0"/>
        <v>190</v>
      </c>
      <c r="D468" s="33">
        <v>218</v>
      </c>
    </row>
    <row r="469" spans="2:4" ht="13" x14ac:dyDescent="0.15">
      <c r="B469" s="33" t="s">
        <v>499</v>
      </c>
      <c r="C469" s="33">
        <f t="shared" ca="1" si="0"/>
        <v>49</v>
      </c>
      <c r="D469" s="33">
        <v>342</v>
      </c>
    </row>
    <row r="470" spans="2:4" ht="13" x14ac:dyDescent="0.15">
      <c r="B470" s="33" t="s">
        <v>500</v>
      </c>
      <c r="C470" s="33">
        <f t="shared" ca="1" si="0"/>
        <v>241</v>
      </c>
      <c r="D470" s="33">
        <v>187</v>
      </c>
    </row>
    <row r="471" spans="2:4" ht="13" x14ac:dyDescent="0.15">
      <c r="B471" s="33" t="s">
        <v>501</v>
      </c>
      <c r="C471" s="33">
        <f t="shared" ca="1" si="0"/>
        <v>309</v>
      </c>
      <c r="D471" s="33">
        <v>271</v>
      </c>
    </row>
    <row r="472" spans="2:4" ht="13" x14ac:dyDescent="0.15">
      <c r="B472" s="33" t="s">
        <v>502</v>
      </c>
      <c r="C472" s="33">
        <f t="shared" ca="1" si="0"/>
        <v>371</v>
      </c>
      <c r="D472" s="33">
        <v>36</v>
      </c>
    </row>
    <row r="473" spans="2:4" ht="13" x14ac:dyDescent="0.15">
      <c r="B473" s="33" t="s">
        <v>503</v>
      </c>
      <c r="C473" s="33">
        <f t="shared" ca="1" si="0"/>
        <v>392</v>
      </c>
      <c r="D473" s="33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WORDLE - Infinite Edition</vt:lpstr>
      <vt:lpstr>Words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jkl1213</cp:lastModifiedBy>
  <dcterms:created xsi:type="dcterms:W3CDTF">2022-02-03T08:22:13Z</dcterms:created>
  <dcterms:modified xsi:type="dcterms:W3CDTF">2022-02-03T08:22:13Z</dcterms:modified>
</cp:coreProperties>
</file>